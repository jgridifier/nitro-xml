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VM1\2022\2025 Update\out\"/>
    </mc:Choice>
  </mc:AlternateContent>
  <xr:revisionPtr revIDLastSave="0" documentId="13_ncr:1_{9B00DE24-BC5C-47AB-9F1F-767D888BDA41}" xr6:coauthVersionLast="47" xr6:coauthVersionMax="47" xr10:uidLastSave="{00000000-0000-0000-0000-000000000000}"/>
  <bookViews>
    <workbookView xWindow="-28898" yWindow="-997" windowWidth="28996" windowHeight="15674" xr2:uid="{00000000-000D-0000-FFFF-FFFF00000000}"/>
  </bookViews>
  <sheets>
    <sheet name="2022_VM-1" sheetId="1" r:id="rId1"/>
    <sheet name="Sheet2" sheetId="2" state="hidden" r:id="rId2"/>
    <sheet name="vm4 rural" sheetId="3" state="hidden" r:id="rId3"/>
    <sheet name="vmt draft_-temp-urban" sheetId="4" state="hidden" r:id="rId4"/>
  </sheets>
  <definedNames>
    <definedName name="_xlnm.Print_Area" localSheetId="0">'2022_VM-1'!$A$1:$K$42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9" i="4" l="1"/>
  <c r="C69" i="4"/>
  <c r="H66" i="4"/>
  <c r="G66" i="4"/>
  <c r="F66" i="4"/>
  <c r="E66" i="4"/>
  <c r="D66" i="4"/>
  <c r="C66" i="4"/>
  <c r="B66" i="4"/>
  <c r="H65" i="4"/>
  <c r="G65" i="4"/>
  <c r="F65" i="4"/>
  <c r="E65" i="4"/>
  <c r="D65" i="4"/>
  <c r="C65" i="4"/>
  <c r="B65" i="4"/>
  <c r="H64" i="4"/>
  <c r="G64" i="4"/>
  <c r="F64" i="4"/>
  <c r="E64" i="4"/>
  <c r="D64" i="4"/>
  <c r="C64" i="4"/>
  <c r="B64" i="4"/>
  <c r="H63" i="4"/>
  <c r="G63" i="4"/>
  <c r="F63" i="4"/>
  <c r="E63" i="4"/>
  <c r="D63" i="4"/>
  <c r="C63" i="4"/>
  <c r="B63" i="4"/>
  <c r="H62" i="4"/>
  <c r="G62" i="4"/>
  <c r="F62" i="4"/>
  <c r="E62" i="4"/>
  <c r="D62" i="4"/>
  <c r="C62" i="4"/>
  <c r="B62" i="4"/>
  <c r="H61" i="4"/>
  <c r="G61" i="4"/>
  <c r="F61" i="4"/>
  <c r="E61" i="4"/>
  <c r="D61" i="4"/>
  <c r="C61" i="4"/>
  <c r="B61" i="4"/>
  <c r="H60" i="4"/>
  <c r="G60" i="4"/>
  <c r="F60" i="4"/>
  <c r="E60" i="4"/>
  <c r="D60" i="4"/>
  <c r="C60" i="4"/>
  <c r="B60" i="4"/>
  <c r="H59" i="4"/>
  <c r="G59" i="4"/>
  <c r="F59" i="4"/>
  <c r="E59" i="4"/>
  <c r="D59" i="4"/>
  <c r="C59" i="4"/>
  <c r="B59" i="4"/>
  <c r="H58" i="4"/>
  <c r="G58" i="4"/>
  <c r="F58" i="4"/>
  <c r="E58" i="4"/>
  <c r="D58" i="4"/>
  <c r="C58" i="4"/>
  <c r="B58" i="4"/>
  <c r="H57" i="4"/>
  <c r="G57" i="4"/>
  <c r="F57" i="4"/>
  <c r="E57" i="4"/>
  <c r="D57" i="4"/>
  <c r="C57" i="4"/>
  <c r="B57" i="4"/>
  <c r="H56" i="4"/>
  <c r="G56" i="4"/>
  <c r="F56" i="4"/>
  <c r="E56" i="4"/>
  <c r="D56" i="4"/>
  <c r="C56" i="4"/>
  <c r="B56" i="4"/>
  <c r="H55" i="4"/>
  <c r="G55" i="4"/>
  <c r="F55" i="4"/>
  <c r="E55" i="4"/>
  <c r="D55" i="4"/>
  <c r="C55" i="4"/>
  <c r="B55" i="4"/>
  <c r="H54" i="4"/>
  <c r="G54" i="4"/>
  <c r="F54" i="4"/>
  <c r="E54" i="4"/>
  <c r="D54" i="4"/>
  <c r="C54" i="4"/>
  <c r="B54" i="4"/>
  <c r="H53" i="4"/>
  <c r="G53" i="4"/>
  <c r="F53" i="4"/>
  <c r="E53" i="4"/>
  <c r="D53" i="4"/>
  <c r="C53" i="4"/>
  <c r="B53" i="4"/>
  <c r="H52" i="4"/>
  <c r="G52" i="4"/>
  <c r="F52" i="4"/>
  <c r="E52" i="4"/>
  <c r="D52" i="4"/>
  <c r="C52" i="4"/>
  <c r="B52" i="4"/>
  <c r="H51" i="4"/>
  <c r="G51" i="4"/>
  <c r="F51" i="4"/>
  <c r="E51" i="4"/>
  <c r="D51" i="4"/>
  <c r="C51" i="4"/>
  <c r="B51" i="4"/>
  <c r="H50" i="4"/>
  <c r="G50" i="4"/>
  <c r="F50" i="4"/>
  <c r="E50" i="4"/>
  <c r="D50" i="4"/>
  <c r="C50" i="4"/>
  <c r="B50" i="4"/>
  <c r="H49" i="4"/>
  <c r="G49" i="4"/>
  <c r="F49" i="4"/>
  <c r="E49" i="4"/>
  <c r="D49" i="4"/>
  <c r="C49" i="4"/>
  <c r="B49" i="4"/>
  <c r="H48" i="4"/>
  <c r="G48" i="4"/>
  <c r="F48" i="4"/>
  <c r="E48" i="4"/>
  <c r="D48" i="4"/>
  <c r="C48" i="4"/>
  <c r="B48" i="4"/>
  <c r="H47" i="4"/>
  <c r="G47" i="4"/>
  <c r="F47" i="4"/>
  <c r="E47" i="4"/>
  <c r="D47" i="4"/>
  <c r="C47" i="4"/>
  <c r="B47" i="4"/>
  <c r="H46" i="4"/>
  <c r="G46" i="4"/>
  <c r="F46" i="4"/>
  <c r="E46" i="4"/>
  <c r="D46" i="4"/>
  <c r="C46" i="4"/>
  <c r="B46" i="4"/>
  <c r="H45" i="4"/>
  <c r="G45" i="4"/>
  <c r="F45" i="4"/>
  <c r="E45" i="4"/>
  <c r="D45" i="4"/>
  <c r="C45" i="4"/>
  <c r="B45" i="4"/>
  <c r="H44" i="4"/>
  <c r="G44" i="4"/>
  <c r="F44" i="4"/>
  <c r="E44" i="4"/>
  <c r="D44" i="4"/>
  <c r="C44" i="4"/>
  <c r="B44" i="4"/>
  <c r="H43" i="4"/>
  <c r="G43" i="4"/>
  <c r="F43" i="4"/>
  <c r="E43" i="4"/>
  <c r="D43" i="4"/>
  <c r="C43" i="4"/>
  <c r="B43" i="4"/>
  <c r="H42" i="4"/>
  <c r="G42" i="4"/>
  <c r="F42" i="4"/>
  <c r="E42" i="4"/>
  <c r="D42" i="4"/>
  <c r="C42" i="4"/>
  <c r="B42" i="4"/>
  <c r="H41" i="4"/>
  <c r="G41" i="4"/>
  <c r="F41" i="4"/>
  <c r="E41" i="4"/>
  <c r="D41" i="4"/>
  <c r="C41" i="4"/>
  <c r="B41" i="4"/>
  <c r="H40" i="4"/>
  <c r="G40" i="4"/>
  <c r="F40" i="4"/>
  <c r="E40" i="4"/>
  <c r="D40" i="4"/>
  <c r="C40" i="4"/>
  <c r="B40" i="4"/>
  <c r="H39" i="4"/>
  <c r="G39" i="4"/>
  <c r="F39" i="4"/>
  <c r="E39" i="4"/>
  <c r="D39" i="4"/>
  <c r="C39" i="4"/>
  <c r="B39" i="4"/>
  <c r="H38" i="4"/>
  <c r="G38" i="4"/>
  <c r="F38" i="4"/>
  <c r="E38" i="4"/>
  <c r="D38" i="4"/>
  <c r="C38" i="4"/>
  <c r="B38" i="4"/>
  <c r="H37" i="4"/>
  <c r="G37" i="4"/>
  <c r="F37" i="4"/>
  <c r="E37" i="4"/>
  <c r="D37" i="4"/>
  <c r="C37" i="4"/>
  <c r="B37" i="4"/>
  <c r="H36" i="4"/>
  <c r="G36" i="4"/>
  <c r="F36" i="4"/>
  <c r="E36" i="4"/>
  <c r="D36" i="4"/>
  <c r="C36" i="4"/>
  <c r="B36" i="4"/>
  <c r="H35" i="4"/>
  <c r="G35" i="4"/>
  <c r="F35" i="4"/>
  <c r="E35" i="4"/>
  <c r="D35" i="4"/>
  <c r="C35" i="4"/>
  <c r="B35" i="4"/>
  <c r="H34" i="4"/>
  <c r="G34" i="4"/>
  <c r="F34" i="4"/>
  <c r="E34" i="4"/>
  <c r="D34" i="4"/>
  <c r="C34" i="4"/>
  <c r="B34" i="4"/>
  <c r="H33" i="4"/>
  <c r="G33" i="4"/>
  <c r="F33" i="4"/>
  <c r="E33" i="4"/>
  <c r="D33" i="4"/>
  <c r="C33" i="4"/>
  <c r="B33" i="4"/>
  <c r="H32" i="4"/>
  <c r="G32" i="4"/>
  <c r="F32" i="4"/>
  <c r="E32" i="4"/>
  <c r="D32" i="4"/>
  <c r="C32" i="4"/>
  <c r="B32" i="4"/>
  <c r="H31" i="4"/>
  <c r="G31" i="4"/>
  <c r="F31" i="4"/>
  <c r="E31" i="4"/>
  <c r="D31" i="4"/>
  <c r="C31" i="4"/>
  <c r="B31" i="4"/>
  <c r="H30" i="4"/>
  <c r="G30" i="4"/>
  <c r="F30" i="4"/>
  <c r="E30" i="4"/>
  <c r="D30" i="4"/>
  <c r="C30" i="4"/>
  <c r="B30" i="4"/>
  <c r="H29" i="4"/>
  <c r="G29" i="4"/>
  <c r="F29" i="4"/>
  <c r="E29" i="4"/>
  <c r="D29" i="4"/>
  <c r="C29" i="4"/>
  <c r="B29" i="4"/>
  <c r="H28" i="4"/>
  <c r="G28" i="4"/>
  <c r="F28" i="4"/>
  <c r="E28" i="4"/>
  <c r="D28" i="4"/>
  <c r="C28" i="4"/>
  <c r="B28" i="4"/>
  <c r="H27" i="4"/>
  <c r="G27" i="4"/>
  <c r="F27" i="4"/>
  <c r="E27" i="4"/>
  <c r="D27" i="4"/>
  <c r="C27" i="4"/>
  <c r="B27" i="4"/>
  <c r="H26" i="4"/>
  <c r="G26" i="4"/>
  <c r="F26" i="4"/>
  <c r="E26" i="4"/>
  <c r="D26" i="4"/>
  <c r="C26" i="4"/>
  <c r="B26" i="4"/>
  <c r="H25" i="4"/>
  <c r="G25" i="4"/>
  <c r="F25" i="4"/>
  <c r="E25" i="4"/>
  <c r="D25" i="4"/>
  <c r="C25" i="4"/>
  <c r="B25" i="4"/>
  <c r="H24" i="4"/>
  <c r="G24" i="4"/>
  <c r="F24" i="4"/>
  <c r="E24" i="4"/>
  <c r="D24" i="4"/>
  <c r="C24" i="4"/>
  <c r="B24" i="4"/>
  <c r="H23" i="4"/>
  <c r="G23" i="4"/>
  <c r="F23" i="4"/>
  <c r="E23" i="4"/>
  <c r="D23" i="4"/>
  <c r="C23" i="4"/>
  <c r="B23" i="4"/>
  <c r="H22" i="4"/>
  <c r="G22" i="4"/>
  <c r="F22" i="4"/>
  <c r="E22" i="4"/>
  <c r="D22" i="4"/>
  <c r="C22" i="4"/>
  <c r="B22" i="4"/>
  <c r="H21" i="4"/>
  <c r="G21" i="4"/>
  <c r="F21" i="4"/>
  <c r="E21" i="4"/>
  <c r="D21" i="4"/>
  <c r="C21" i="4"/>
  <c r="B21" i="4"/>
  <c r="H20" i="4"/>
  <c r="G20" i="4"/>
  <c r="F20" i="4"/>
  <c r="E20" i="4"/>
  <c r="D20" i="4"/>
  <c r="C20" i="4"/>
  <c r="B20" i="4"/>
  <c r="H19" i="4"/>
  <c r="G19" i="4"/>
  <c r="F19" i="4"/>
  <c r="E19" i="4"/>
  <c r="D19" i="4"/>
  <c r="C19" i="4"/>
  <c r="B19" i="4"/>
  <c r="H18" i="4"/>
  <c r="G18" i="4"/>
  <c r="F18" i="4"/>
  <c r="E18" i="4"/>
  <c r="D18" i="4"/>
  <c r="C18" i="4"/>
  <c r="B18" i="4"/>
  <c r="H17" i="4"/>
  <c r="G17" i="4"/>
  <c r="F17" i="4"/>
  <c r="E17" i="4"/>
  <c r="D17" i="4"/>
  <c r="C17" i="4"/>
  <c r="B17" i="4"/>
  <c r="H16" i="4"/>
  <c r="G16" i="4"/>
  <c r="F16" i="4"/>
  <c r="E16" i="4"/>
  <c r="D16" i="4"/>
  <c r="C16" i="4"/>
  <c r="B16" i="4"/>
  <c r="H15" i="4"/>
  <c r="G15" i="4"/>
  <c r="G69" i="4" s="1"/>
  <c r="F15" i="4"/>
  <c r="F69" i="4" s="1"/>
  <c r="E15" i="4"/>
  <c r="E69" i="4" s="1"/>
  <c r="D15" i="4"/>
  <c r="D69" i="4" s="1"/>
  <c r="C15" i="4"/>
  <c r="B15" i="4"/>
  <c r="B69" i="4" s="1"/>
</calcChain>
</file>

<file path=xl/sharedStrings.xml><?xml version="1.0" encoding="utf-8"?>
<sst xmlns="http://schemas.openxmlformats.org/spreadsheetml/2006/main" count="216" uniqueCount="122">
  <si>
    <t>ANNUAL VEHICLE DISTANCE TRAVELED IN MILES AND RELATED DATA - 2022(1)</t>
  </si>
  <si>
    <t>BY HIGHWAY CATEGORY AND VEHICLE TYPE</t>
  </si>
  <si>
    <t>Updated: March, 2025</t>
  </si>
  <si>
    <t>Table VM-1</t>
  </si>
  <si>
    <t>SUBTOTALS</t>
  </si>
  <si>
    <t>SINGLE-UNIT</t>
  </si>
  <si>
    <t>ALL</t>
  </si>
  <si>
    <t xml:space="preserve">YEAR </t>
  </si>
  <si>
    <t>ITEM</t>
  </si>
  <si>
    <t>LIGHT DUTY</t>
  </si>
  <si>
    <t xml:space="preserve">LIGHT DUTY </t>
  </si>
  <si>
    <t>2-AXLE 6-TIRE</t>
  </si>
  <si>
    <t>MOTOR</t>
  </si>
  <si>
    <t>VEHICLES</t>
  </si>
  <si>
    <t>MOTOR-</t>
  </si>
  <si>
    <t>BUSES</t>
  </si>
  <si>
    <t>COMBINATION</t>
  </si>
  <si>
    <t>OR MORE AND</t>
  </si>
  <si>
    <t>SHORT WB 2/</t>
  </si>
  <si>
    <t>CYCLES</t>
  </si>
  <si>
    <t>LONG WB 2/</t>
  </si>
  <si>
    <t>TRUCKS  3/</t>
  </si>
  <si>
    <t>TRUCKS</t>
  </si>
  <si>
    <t>VEHICLES 2/</t>
  </si>
  <si>
    <t xml:space="preserve"> Motor-Vehicle Travel:</t>
  </si>
  <si>
    <t xml:space="preserve">     (millions of vehicle-miles)</t>
  </si>
  <si>
    <t xml:space="preserve">  Interstate Rural</t>
  </si>
  <si>
    <t xml:space="preserve">  Other Arterial Rural</t>
  </si>
  <si>
    <t xml:space="preserve">  Other Rural</t>
  </si>
  <si>
    <t xml:space="preserve"> All Rural</t>
  </si>
  <si>
    <t xml:space="preserve">  Interstate Urban</t>
  </si>
  <si>
    <t xml:space="preserve">  Other Urban</t>
  </si>
  <si>
    <t xml:space="preserve"> All Urban  </t>
  </si>
  <si>
    <t xml:space="preserve"> Total Rural and Urban  5/</t>
  </si>
  <si>
    <t xml:space="preserve"> Number of motor vehicles</t>
  </si>
  <si>
    <t xml:space="preserve">  registered  2/</t>
  </si>
  <si>
    <t xml:space="preserve"> Average miles traveled</t>
  </si>
  <si>
    <t xml:space="preserve">  per vehicle</t>
  </si>
  <si>
    <t xml:space="preserve"> Person-miles of travel</t>
  </si>
  <si>
    <t xml:space="preserve">  (millions) 4/</t>
  </si>
  <si>
    <t xml:space="preserve"> Fuel consumed </t>
  </si>
  <si>
    <t xml:space="preserve">  (thousand gallons)</t>
  </si>
  <si>
    <t xml:space="preserve"> Average fuel consumption</t>
  </si>
  <si>
    <t xml:space="preserve">  per vehicle (gallons)</t>
  </si>
  <si>
    <t xml:space="preserve"> Average miles traveled per</t>
  </si>
  <si>
    <t xml:space="preserve">  gallon of fuel consumed</t>
  </si>
  <si>
    <t>URBAN  Other  Arterials</t>
  </si>
  <si>
    <t>VM2 x Vm4</t>
  </si>
  <si>
    <t>VMT</t>
  </si>
  <si>
    <t>Urban</t>
  </si>
  <si>
    <t>September 23, 2019</t>
  </si>
  <si>
    <t>INTERSTATE  SYSTEM</t>
  </si>
  <si>
    <t>OTHER  ARTERIALS</t>
  </si>
  <si>
    <t>OTHER</t>
  </si>
  <si>
    <t>STATE</t>
  </si>
  <si>
    <t>PASSENGER</t>
  </si>
  <si>
    <t>LIGHT</t>
  </si>
  <si>
    <t xml:space="preserve">ALL LIGHT </t>
  </si>
  <si>
    <t>SINGLE UNIT +</t>
  </si>
  <si>
    <t>ALL LIGHT</t>
  </si>
  <si>
    <t>CARS</t>
  </si>
  <si>
    <t xml:space="preserve"> DUTY VEHICLES</t>
  </si>
  <si>
    <t>COMBINATION TRUCKS</t>
  </si>
  <si>
    <t>TOTAL</t>
  </si>
  <si>
    <t>DUTY VEHICLES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</si>
  <si>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</si>
  <si>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</si>
  <si>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</si>
  <si>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</si>
  <si>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</si>
  <si>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</si>
  <si>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</si>
  <si>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</si>
  <si>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</si>
  <si>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</si>
  <si>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</si>
  <si>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</si>
  <si>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</si>
  <si>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</si>
  <si>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</si>
  <si>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</si>
  <si>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</si>
  <si>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</si>
  <si>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</si>
  <si>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</si>
  <si>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</si>
  <si>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</si>
  <si>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</si>
  <si>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</si>
  <si>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</si>
  <si>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</si>
  <si>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</si>
  <si>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</si>
  <si>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</si>
  <si>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</si>
  <si>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</si>
  <si>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</si>
  <si>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</si>
  <si>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</si>
  <si>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</si>
  <si>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</si>
  <si>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</si>
  <si>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</si>
  <si>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</si>
  <si>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</si>
  <si>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</si>
  <si>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</si>
  <si>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</si>
  <si>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</si>
  <si>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</si>
  <si>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</si>
  <si>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</si>
  <si>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</si>
  <si>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</si>
  <si>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</si>
  <si>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</si>
  <si>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</si>
  <si>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For footnotes, see Footnotes Page.</t>
  </si>
  <si>
    <t>Total (no PR)</t>
  </si>
  <si>
    <t>Massachusetts (2)</t>
  </si>
  <si>
    <t>Ohio (2)</t>
  </si>
  <si>
    <t>1/ The FHWA estimates national trends by using State reported Highway Performance and Monitoring System (HPMS) data, fuel consumption data (MF-21), vehicle registration data (MV-1), other data such as the R. L. Polk vehicle data, and a host of modeling techniques. 
2/ Light Duty Vehicles Short WB - passenger cars, light trucks, vans and sport utility vehicles with a wheelbase (WB) less than or equal to 121 inches. Light Duty Vehicles Long WB - large passenger cars, vans, pickup trucks, and sport utility vehicles with wheelbases (WB) greater than 121 inches. All Light Duty Vehicles - passenger cars, light trucks, vans, and sport utility vehicles regardless of wheelbase.
3/ Single-Unit - single frame trucks that have 2-Axles and at least 6 tires or a gross vehicle weight rating exceeding 10,000 lbs.
4/ For 2022, vehicle occupancy is estimated by the FHWA from the 2022 National Household Travel Survey (NHTS) and the annual R.L. Polk Vehicle registration data. For 2021, vehicle occupancy is estimated by the FHWA from the 2017 NHTS and the annual R.L. Polk Vehicle registration data. For single unit trucks and combination trucks, 1 motor vehicle miles traveled = 1 person-miles traveled.
5/ VMT data are based on the latest HPMS data available; it may not match previous published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</si>
</sst>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_)"/>
    <numFmt numFmtId="165" formatCode="_(* #,##0_);_(* \(#,##0\);_(* &quot;-&quot;??_);_(@_)"/>
    <numFmt numFmtId="166" formatCode="#,##0.0_);\(#,##0.0\)"/>
    <numFmt numFmtId="167" formatCode="0.0_)"/>
    <numFmt numFmtId="168" formatCode="_(* #,##0_);_(* \(#,##0\);_ &quot;-&quot;"/>
  </numFmts>
  <fonts count="43">
    <font>
      <sz val="11"/>
      <color theme="1"/>
      <name val="Calibri"/>
      <family val="2"/>
      <scheme val="minor"/>
    </font>
    <font>
      <sz val="11"/>
      <color theme="1"/>
      <name val="Calibri"/>
      <family val="2"/>
      <scheme val="minor"/>
    </font>
    <font>
      <sz val="10"/>
      <name val="Arial"/>
      <family val="2"/>
    </font>
    <font>
      <b/>
      <sz val="20"/>
      <name val="Arial"/>
      <family val="2"/>
    </font>
    <font>
      <b/>
      <sz val="15"/>
      <name val="Arial"/>
      <family val="2"/>
    </font>
    <font>
      <sz val="10"/>
      <name val="P-AVGARD"/>
    </font>
    <font>
      <sz val="6"/>
      <name val="Arial"/>
      <family val="2"/>
    </font>
    <font>
      <sz val="10"/>
      <color rgb="FFFF0000"/>
      <name val="Arial"/>
      <family val="2"/>
    </font>
    <font>
      <sz val="10"/>
      <color rgb="FF00B050"/>
      <name val="Arial"/>
      <family val="2"/>
    </font>
    <font>
      <sz val="10"/>
      <color rgb="FF92D050"/>
      <name val="Arial"/>
      <family val="2"/>
    </font>
    <font>
      <sz val="22"/>
      <name val="Arial"/>
      <family val="2"/>
    </font>
    <font>
      <sz val="20"/>
      <color rgb="FFFF0000"/>
      <name val="Arial"/>
      <family val="2"/>
    </font>
    <font>
      <b/>
      <sz val="16"/>
      <color theme="1"/>
      <name val="Calibri"/>
      <family val="2"/>
      <scheme val="minor"/>
    </font>
    <font>
      <sz val="10"/>
      <color indexed="8"/>
      <name val="Arial"/>
      <family val="2"/>
    </font>
    <font>
      <sz val="10"/>
      <color theme="1"/>
      <name val="Arial"/>
      <family val="2"/>
    </font>
    <font>
      <sz val="10"/>
      <color rgb="FFFF9999"/>
      <name val="Arial"/>
      <family val="2"/>
    </font>
    <font>
      <b/>
      <sz val="14"/>
      <color indexed="8"/>
      <name val="AvantGarde"/>
      <family val="2"/>
    </font>
    <font>
      <sz val="10"/>
      <color indexed="8"/>
      <name val="AvantGarde"/>
      <family val="2"/>
    </font>
    <font>
      <b/>
      <sz val="10"/>
      <color indexed="8"/>
      <name val="AvantGarde"/>
      <family val="2"/>
    </font>
    <font>
      <b/>
      <sz val="20"/>
      <color indexed="8"/>
      <name val="AvantGarde"/>
      <family val="2"/>
    </font>
    <font>
      <b/>
      <sz val="14"/>
      <color rgb="FFFF9999"/>
      <name val="Arial"/>
      <family val="2"/>
    </font>
    <font>
      <sz val="9.9"/>
      <color indexed="8"/>
      <name val="Arial"/>
      <family val="2"/>
    </font>
    <font>
      <sz val="11"/>
      <color indexed="8"/>
      <name val="Calibri"/>
      <family val="2"/>
    </font>
    <font>
      <b/>
      <sz val="11"/>
      <color indexed="8"/>
      <name val="Calibri"/>
      <family val="2"/>
    </font>
    <font>
      <sz val="6"/>
      <name val="P-AVGARD"/>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8"/>
      <name val="P-AVGARD"/>
    </font>
    <font>
      <sz val="10"/>
      <color rgb="FF000000"/>
      <name val="Arial"/>
      <family val="2"/>
    </font>
    <font>
      <b/>
      <sz val="10"/>
      <color rgb="FF000000"/>
      <name val="Arial"/>
      <family val="2"/>
    </font>
  </fonts>
  <fills count="28">
    <fill>
      <patternFill patternType="none"/>
    </fill>
    <fill>
      <patternFill patternType="gray125"/>
    </fill>
    <fill>
      <patternFill patternType="solid">
        <fgColor theme="0"/>
        <bgColor indexed="9"/>
      </patternFill>
    </fill>
    <fill>
      <patternFill patternType="solid">
        <fgColor theme="0"/>
        <bgColor indexed="64"/>
      </patternFill>
    </fill>
    <fill>
      <patternFill patternType="solid">
        <fgColor indexed="9"/>
        <bgColor indexed="9"/>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70">
    <border>
      <left/>
      <right/>
      <top/>
      <bottom/>
      <diagonal/>
    </border>
    <border>
      <left/>
      <right/>
      <top/>
      <bottom style="thin">
        <color indexed="64"/>
      </bottom>
      <diagonal/>
    </border>
    <border>
      <left/>
      <right style="thin">
        <color indexed="8"/>
      </right>
      <top/>
      <bottom/>
      <diagonal/>
    </border>
    <border>
      <left style="double">
        <color indexed="8"/>
      </left>
      <right style="thin">
        <color indexed="8"/>
      </right>
      <top style="thin">
        <color indexed="8"/>
      </top>
      <bottom/>
      <diagonal/>
    </border>
    <border>
      <left style="thin">
        <color indexed="8"/>
      </left>
      <right style="double">
        <color indexed="8"/>
      </right>
      <top style="thin">
        <color indexed="8"/>
      </top>
      <bottom/>
      <diagonal/>
    </border>
    <border>
      <left style="double">
        <color indexed="64"/>
      </left>
      <right style="thin">
        <color indexed="8"/>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diagonal/>
    </border>
    <border>
      <left style="double">
        <color indexed="64"/>
      </left>
      <right/>
      <top/>
      <bottom/>
      <diagonal/>
    </border>
    <border>
      <left style="thin">
        <color indexed="64"/>
      </left>
      <right style="double">
        <color indexed="64"/>
      </right>
      <top/>
      <bottom/>
      <diagonal/>
    </border>
    <border>
      <left/>
      <right style="thin">
        <color auto="1"/>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8"/>
      </top>
      <bottom/>
      <diagonal/>
    </border>
    <border>
      <left style="double">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right style="double">
        <color auto="1"/>
      </right>
      <top style="thin">
        <color indexed="64"/>
      </top>
      <bottom style="thin">
        <color indexed="8"/>
      </bottom>
      <diagonal/>
    </border>
    <border>
      <left/>
      <right/>
      <top style="thin">
        <color indexed="8"/>
      </top>
      <bottom style="thin">
        <color indexed="8"/>
      </bottom>
      <diagonal/>
    </border>
    <border>
      <left/>
      <right style="double">
        <color indexed="8"/>
      </right>
      <top style="thin">
        <color indexed="8"/>
      </top>
      <bottom/>
      <diagonal/>
    </border>
    <border>
      <left/>
      <right style="double">
        <color indexed="8"/>
      </right>
      <top style="thin">
        <color indexed="8"/>
      </top>
      <bottom style="thin">
        <color indexed="8"/>
      </bottom>
      <diagonal/>
    </border>
    <border>
      <left style="thin">
        <color indexed="8"/>
      </left>
      <right style="thin">
        <color indexed="8"/>
      </right>
      <top style="thin">
        <color indexed="8"/>
      </top>
      <bottom/>
      <diagonal/>
    </border>
    <border>
      <left style="thin">
        <color theme="1"/>
      </left>
      <right style="thin">
        <color theme="1"/>
      </right>
      <top/>
      <bottom/>
      <diagonal/>
    </border>
    <border>
      <left/>
      <right style="thin">
        <color indexed="8"/>
      </right>
      <top style="thin">
        <color indexed="8"/>
      </top>
      <bottom/>
      <diagonal/>
    </border>
    <border>
      <left/>
      <right style="thin">
        <color indexed="8"/>
      </right>
      <top/>
      <bottom style="thin">
        <color indexed="8"/>
      </bottom>
      <diagonal/>
    </border>
    <border>
      <left/>
      <right style="double">
        <color indexed="8"/>
      </right>
      <top/>
      <bottom style="thin">
        <color indexed="8"/>
      </bottom>
      <diagonal/>
    </border>
    <border>
      <left style="thin">
        <color theme="1"/>
      </left>
      <right style="thin">
        <color theme="1"/>
      </right>
      <top/>
      <bottom style="thin">
        <color theme="1"/>
      </bottom>
      <diagonal/>
    </border>
    <border>
      <left/>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double">
        <color indexed="8"/>
      </right>
      <top/>
      <bottom style="thin">
        <color indexed="8"/>
      </bottom>
      <diagonal/>
    </border>
    <border>
      <left style="double">
        <color indexed="8"/>
      </left>
      <right style="thin">
        <color indexed="8"/>
      </right>
      <top/>
      <bottom/>
      <diagonal/>
    </border>
    <border>
      <left style="thin">
        <color indexed="8"/>
      </left>
      <right/>
      <top/>
      <bottom style="thin">
        <color indexed="8"/>
      </bottom>
      <diagonal/>
    </border>
    <border>
      <left/>
      <right style="double">
        <color indexed="64"/>
      </right>
      <top/>
      <bottom/>
      <diagonal/>
    </border>
    <border>
      <left style="thin">
        <color auto="1"/>
      </left>
      <right style="thin">
        <color auto="1"/>
      </right>
      <top/>
      <bottom style="thin">
        <color theme="0"/>
      </bottom>
      <diagonal/>
    </border>
    <border>
      <left style="thin">
        <color indexed="64"/>
      </left>
      <right/>
      <top/>
      <bottom style="thin">
        <color theme="0"/>
      </bottom>
      <diagonal/>
    </border>
    <border>
      <left style="double">
        <color indexed="64"/>
      </left>
      <right style="thin">
        <color indexed="64"/>
      </right>
      <top/>
      <bottom style="thin">
        <color theme="0"/>
      </bottom>
      <diagonal/>
    </border>
    <border>
      <left style="thin">
        <color indexed="64"/>
      </left>
      <right style="double">
        <color indexed="64"/>
      </right>
      <top/>
      <bottom style="thin">
        <color theme="0"/>
      </bottom>
      <diagonal/>
    </border>
    <border>
      <left/>
      <right style="thin">
        <color auto="1"/>
      </right>
      <top/>
      <bottom style="thin">
        <color theme="0"/>
      </bottom>
      <diagonal/>
    </border>
    <border>
      <left/>
      <right style="thin">
        <color indexed="64"/>
      </right>
      <top/>
      <bottom style="thin">
        <color indexed="64"/>
      </bottom>
      <diagonal/>
    </border>
    <border>
      <left style="double">
        <color indexed="64"/>
      </left>
      <right style="thin">
        <color indexed="64"/>
      </right>
      <top/>
      <bottom style="thin">
        <color indexed="64"/>
      </bottom>
      <diagonal/>
    </border>
    <border>
      <left style="thin">
        <color indexed="64"/>
      </left>
      <right/>
      <top/>
      <bottom/>
      <diagonal/>
    </border>
    <border>
      <left/>
      <right style="thin">
        <color indexed="8"/>
      </right>
      <top style="thin">
        <color indexed="64"/>
      </top>
      <bottom/>
      <diagonal/>
    </border>
    <border>
      <left style="thin">
        <color auto="1"/>
      </left>
      <right style="thin">
        <color auto="1"/>
      </right>
      <top/>
      <bottom/>
      <diagonal/>
    </border>
    <border>
      <left style="thin">
        <color indexed="8"/>
      </left>
      <right style="double">
        <color indexed="64"/>
      </right>
      <top/>
      <bottom/>
      <diagonal/>
    </border>
    <border>
      <left style="thin">
        <color indexed="64"/>
      </left>
      <right style="double">
        <color auto="1"/>
      </right>
      <top/>
      <bottom style="thin">
        <color indexed="64"/>
      </bottom>
      <diagonal/>
    </border>
    <border>
      <left style="thin">
        <color indexed="64"/>
      </left>
      <right style="thin">
        <color auto="1"/>
      </right>
      <top style="thin">
        <color indexed="8"/>
      </top>
      <bottom/>
      <diagonal/>
    </border>
    <border>
      <left style="double">
        <color indexed="64"/>
      </left>
      <right/>
      <top style="thin">
        <color indexed="64"/>
      </top>
      <bottom/>
      <diagonal/>
    </border>
    <border>
      <left style="double">
        <color indexed="64"/>
      </left>
      <right/>
      <top/>
      <bottom style="thin">
        <color indexed="64"/>
      </bottom>
      <diagonal/>
    </border>
    <border>
      <left style="thin">
        <color indexed="8"/>
      </left>
      <right/>
      <top/>
      <bottom/>
      <diagonal/>
    </border>
    <border>
      <left style="thin">
        <color indexed="64"/>
      </left>
      <right style="thin">
        <color indexed="64"/>
      </right>
      <top/>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bottom/>
      <diagonal/>
    </border>
    <border>
      <left style="thin">
        <color indexed="8"/>
      </left>
      <right style="double">
        <color indexed="8"/>
      </right>
      <top/>
      <bottom/>
      <diagonal/>
    </border>
    <border>
      <left style="thin">
        <color indexed="64"/>
      </left>
      <right style="thin">
        <color indexed="64"/>
      </right>
      <top style="thin">
        <color indexed="64"/>
      </top>
      <bottom style="thin">
        <color indexed="64"/>
      </bottom>
      <diagonal/>
    </border>
    <border>
      <left style="double">
        <color auto="1"/>
      </left>
      <right style="double">
        <color auto="1"/>
      </right>
      <top style="thin">
        <color indexed="64"/>
      </top>
      <bottom style="thin">
        <color indexed="8"/>
      </bottom>
      <diagonal/>
    </border>
  </borders>
  <cellStyleXfs count="106">
    <xf numFmtId="0" fontId="0" fillId="0" borderId="0"/>
    <xf numFmtId="43" fontId="1" fillId="0" borderId="0"/>
    <xf numFmtId="0" fontId="1" fillId="0" borderId="0"/>
    <xf numFmtId="43" fontId="1" fillId="0" borderId="0"/>
    <xf numFmtId="43" fontId="22" fillId="0" borderId="0"/>
    <xf numFmtId="0" fontId="2" fillId="0" borderId="0"/>
    <xf numFmtId="43" fontId="2" fillId="0" borderId="0"/>
    <xf numFmtId="43" fontId="22" fillId="0" borderId="0"/>
    <xf numFmtId="0" fontId="2" fillId="0" borderId="0"/>
    <xf numFmtId="0" fontId="2" fillId="0" borderId="0"/>
    <xf numFmtId="0" fontId="1" fillId="0" borderId="0"/>
    <xf numFmtId="0" fontId="1" fillId="0" borderId="0"/>
    <xf numFmtId="9" fontId="1" fillId="0" borderId="0"/>
    <xf numFmtId="9" fontId="2" fillId="0" borderId="0"/>
    <xf numFmtId="0" fontId="24" fillId="0" borderId="0"/>
    <xf numFmtId="37" fontId="24" fillId="0" borderId="0"/>
    <xf numFmtId="0" fontId="22" fillId="6" borderId="0"/>
    <xf numFmtId="0" fontId="22" fillId="7"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9" borderId="0"/>
    <xf numFmtId="0" fontId="22" fillId="12" borderId="0"/>
    <xf numFmtId="0" fontId="22" fillId="15" borderId="0"/>
    <xf numFmtId="0" fontId="25" fillId="16" borderId="0"/>
    <xf numFmtId="0" fontId="25" fillId="13" borderId="0"/>
    <xf numFmtId="0" fontId="25" fillId="14" borderId="0"/>
    <xf numFmtId="0" fontId="25" fillId="17" borderId="0"/>
    <xf numFmtId="0" fontId="25" fillId="18" borderId="0"/>
    <xf numFmtId="0" fontId="25" fillId="19" borderId="0"/>
    <xf numFmtId="0" fontId="25" fillId="20" borderId="0"/>
    <xf numFmtId="0" fontId="25" fillId="21" borderId="0"/>
    <xf numFmtId="0" fontId="25" fillId="22" borderId="0"/>
    <xf numFmtId="0" fontId="25" fillId="17" borderId="0"/>
    <xf numFmtId="0" fontId="25" fillId="18" borderId="0"/>
    <xf numFmtId="0" fontId="25" fillId="23" borderId="0"/>
    <xf numFmtId="0" fontId="26" fillId="7" borderId="0"/>
    <xf numFmtId="0" fontId="27" fillId="24" borderId="57"/>
    <xf numFmtId="0" fontId="28" fillId="25" borderId="58"/>
    <xf numFmtId="44" fontId="2" fillId="0" borderId="0"/>
    <xf numFmtId="44" fontId="2" fillId="0" borderId="0"/>
    <xf numFmtId="0" fontId="29" fillId="0" borderId="0"/>
    <xf numFmtId="0" fontId="30" fillId="8" borderId="0"/>
    <xf numFmtId="0" fontId="31" fillId="0" borderId="59"/>
    <xf numFmtId="0" fontId="32" fillId="0" borderId="60"/>
    <xf numFmtId="0" fontId="33" fillId="0" borderId="61"/>
    <xf numFmtId="0" fontId="33" fillId="0" borderId="0"/>
    <xf numFmtId="0" fontId="34" fillId="11" borderId="57"/>
    <xf numFmtId="0" fontId="35" fillId="0" borderId="62"/>
    <xf numFmtId="0" fontId="36" fillId="26" borderId="0"/>
    <xf numFmtId="0" fontId="1" fillId="0" borderId="0"/>
    <xf numFmtId="0" fontId="2" fillId="27" borderId="63"/>
    <xf numFmtId="0" fontId="37" fillId="24" borderId="64"/>
    <xf numFmtId="9" fontId="2" fillId="0" borderId="0"/>
    <xf numFmtId="0" fontId="38" fillId="0" borderId="0"/>
    <xf numFmtId="0" fontId="23" fillId="0" borderId="65"/>
    <xf numFmtId="0" fontId="39" fillId="0" borderId="0"/>
    <xf numFmtId="37" fontId="5" fillId="0" borderId="0"/>
    <xf numFmtId="0" fontId="1" fillId="0" borderId="0"/>
    <xf numFmtId="0" fontId="1" fillId="0" borderId="0"/>
    <xf numFmtId="43"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 fillId="0" borderId="0"/>
    <xf numFmtId="0" fontId="41" fillId="0" borderId="68"/>
    <xf numFmtId="0" fontId="42" fillId="0" borderId="68"/>
    <xf numFmtId="0" fontId="24" fillId="0" borderId="0"/>
    <xf numFmtId="43" fontId="40" fillId="0" borderId="0"/>
    <xf numFmtId="43" fontId="1" fillId="0" borderId="0"/>
    <xf numFmtId="37" fontId="24" fillId="0" borderId="0"/>
    <xf numFmtId="43" fontId="24" fillId="0" borderId="0"/>
    <xf numFmtId="43" fontId="5" fillId="0" borderId="0"/>
    <xf numFmtId="9" fontId="5" fillId="0" borderId="0"/>
    <xf numFmtId="0" fontId="1" fillId="0" borderId="0"/>
    <xf numFmtId="43" fontId="22" fillId="0" borderId="0"/>
    <xf numFmtId="43" fontId="1" fillId="0" borderId="0"/>
    <xf numFmtId="43" fontId="22" fillId="0" borderId="0"/>
    <xf numFmtId="0" fontId="2" fillId="0" borderId="0"/>
    <xf numFmtId="0" fontId="2" fillId="0" borderId="0"/>
    <xf numFmtId="0" fontId="1" fillId="0" borderId="0"/>
    <xf numFmtId="0" fontId="1" fillId="0" borderId="0"/>
    <xf numFmtId="9" fontId="1" fillId="0" borderId="0"/>
    <xf numFmtId="0" fontId="1" fillId="0" borderId="0"/>
    <xf numFmtId="0" fontId="1" fillId="0" borderId="0"/>
    <xf numFmtId="0" fontId="14" fillId="0" borderId="0"/>
    <xf numFmtId="43" fontId="22" fillId="0" borderId="0"/>
    <xf numFmtId="0" fontId="2" fillId="0" borderId="0"/>
  </cellStyleXfs>
  <cellXfs count="181">
    <xf numFmtId="0" fontId="0" fillId="0" borderId="0" xfId="0"/>
    <xf numFmtId="0" fontId="3" fillId="0" borderId="0" xfId="0" applyFont="1" applyAlignment="1">
      <alignment horizontal="centerContinuous"/>
    </xf>
    <xf numFmtId="0" fontId="4" fillId="0" borderId="0" xfId="0" applyFont="1" applyAlignment="1">
      <alignment horizontal="centerContinuous"/>
    </xf>
    <xf numFmtId="0" fontId="2" fillId="0" borderId="0" xfId="0" applyFont="1" applyAlignment="1">
      <alignment horizontal="centerContinuous" vertical="center"/>
    </xf>
    <xf numFmtId="0" fontId="2" fillId="0" borderId="0" xfId="0" applyFont="1" applyAlignment="1">
      <alignment vertical="center"/>
    </xf>
    <xf numFmtId="0" fontId="2" fillId="0" borderId="0" xfId="0" applyFont="1" applyAlignment="1">
      <alignment horizontal="right" vertical="center"/>
    </xf>
    <xf numFmtId="0" fontId="2" fillId="0" borderId="22" xfId="0" applyFont="1" applyBorder="1" applyAlignment="1">
      <alignment horizontal="centerContinuous" vertical="center"/>
    </xf>
    <xf numFmtId="0" fontId="2" fillId="0" borderId="24" xfId="0" applyFont="1" applyBorder="1" applyAlignment="1">
      <alignment horizontal="centerContinuous" vertical="center"/>
    </xf>
    <xf numFmtId="0" fontId="2" fillId="0" borderId="26" xfId="0" applyFont="1" applyBorder="1" applyAlignment="1">
      <alignment vertical="center"/>
    </xf>
    <xf numFmtId="0" fontId="2" fillId="0" borderId="27" xfId="0" applyFont="1" applyBorder="1" applyAlignment="1">
      <alignment vertical="center"/>
    </xf>
    <xf numFmtId="0" fontId="2" fillId="0" borderId="28" xfId="0" applyFont="1" applyBorder="1" applyAlignment="1">
      <alignment horizontal="center" vertical="center"/>
    </xf>
    <xf numFmtId="0" fontId="2" fillId="0" borderId="30" xfId="0" applyFont="1" applyBorder="1" applyAlignment="1">
      <alignment vertical="center"/>
    </xf>
    <xf numFmtId="0" fontId="2" fillId="0" borderId="31" xfId="0" applyFont="1" applyBorder="1" applyAlignment="1">
      <alignment vertical="center"/>
    </xf>
    <xf numFmtId="0" fontId="2" fillId="0" borderId="0" xfId="0" quotePrefix="1" applyFont="1" applyAlignment="1">
      <alignment vertical="center"/>
    </xf>
    <xf numFmtId="0" fontId="2" fillId="0" borderId="25" xfId="0" applyFont="1" applyBorder="1" applyAlignment="1">
      <alignment horizontal="center" vertical="center"/>
    </xf>
    <xf numFmtId="0" fontId="2" fillId="0" borderId="34" xfId="0" applyFont="1" applyBorder="1" applyAlignment="1">
      <alignment vertical="center"/>
    </xf>
    <xf numFmtId="43" fontId="2" fillId="0" borderId="2" xfId="0" applyNumberFormat="1" applyFont="1" applyBorder="1" applyAlignment="1">
      <alignment horizontal="right" vertical="center"/>
    </xf>
    <xf numFmtId="2" fontId="2" fillId="0" borderId="34" xfId="0" applyNumberFormat="1" applyFont="1" applyBorder="1" applyAlignment="1">
      <alignment vertical="center"/>
    </xf>
    <xf numFmtId="43" fontId="2" fillId="0" borderId="28" xfId="0" applyNumberFormat="1" applyFont="1" applyBorder="1" applyAlignment="1">
      <alignment horizontal="right" vertical="center"/>
    </xf>
    <xf numFmtId="43" fontId="2" fillId="0" borderId="36" xfId="0" applyNumberFormat="1" applyFont="1" applyBorder="1" applyAlignment="1">
      <alignment horizontal="right" vertical="center"/>
    </xf>
    <xf numFmtId="0" fontId="5" fillId="0" borderId="37" xfId="0" applyFont="1" applyBorder="1" applyAlignment="1">
      <alignment vertical="center"/>
    </xf>
    <xf numFmtId="0" fontId="6" fillId="0" borderId="0" xfId="0" applyFont="1" applyAlignment="1">
      <alignment horizontal="centerContinuous"/>
    </xf>
    <xf numFmtId="0" fontId="6" fillId="0" borderId="0" xfId="0" applyFont="1"/>
    <xf numFmtId="0" fontId="2" fillId="0" borderId="32" xfId="0" applyFont="1" applyBorder="1" applyAlignment="1">
      <alignment horizontal="centerContinuous" vertical="center"/>
    </xf>
    <xf numFmtId="0" fontId="2" fillId="0" borderId="33" xfId="0" applyFont="1" applyBorder="1" applyAlignment="1">
      <alignment horizontal="centerContinuous" vertical="center"/>
    </xf>
    <xf numFmtId="0" fontId="2" fillId="0" borderId="16" xfId="0" applyFont="1" applyBorder="1" applyAlignment="1">
      <alignment horizontal="center" vertical="center"/>
    </xf>
    <xf numFmtId="0" fontId="6" fillId="0" borderId="31" xfId="0" applyFont="1" applyBorder="1" applyAlignment="1">
      <alignment vertical="center"/>
    </xf>
    <xf numFmtId="0" fontId="6" fillId="0" borderId="28" xfId="0" applyFont="1" applyBorder="1" applyAlignment="1">
      <alignment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16" xfId="0" applyFont="1" applyBorder="1" applyAlignment="1">
      <alignment horizontal="center" vertical="center"/>
    </xf>
    <xf numFmtId="0" fontId="7" fillId="0" borderId="31" xfId="0" applyFont="1" applyBorder="1" applyAlignment="1">
      <alignment horizontal="center" vertical="center"/>
    </xf>
    <xf numFmtId="43" fontId="7" fillId="0" borderId="2" xfId="0" applyNumberFormat="1" applyFont="1" applyBorder="1" applyAlignment="1">
      <alignment horizontal="right" vertical="center"/>
    </xf>
    <xf numFmtId="43" fontId="7" fillId="0" borderId="0" xfId="0" applyNumberFormat="1" applyFont="1" applyAlignment="1">
      <alignment horizontal="right" vertical="center"/>
    </xf>
    <xf numFmtId="43" fontId="8" fillId="0" borderId="4" xfId="0" applyNumberFormat="1" applyFont="1" applyBorder="1" applyAlignment="1">
      <alignment vertical="center"/>
    </xf>
    <xf numFmtId="43" fontId="8" fillId="0" borderId="35" xfId="0" applyNumberFormat="1" applyFont="1" applyBorder="1" applyAlignment="1">
      <alignment vertical="center"/>
    </xf>
    <xf numFmtId="43" fontId="8" fillId="0" borderId="2" xfId="0" applyNumberFormat="1" applyFont="1" applyBorder="1" applyAlignment="1">
      <alignment horizontal="right" vertical="center"/>
    </xf>
    <xf numFmtId="43" fontId="8" fillId="0" borderId="28" xfId="0" applyNumberFormat="1" applyFont="1" applyBorder="1" applyAlignment="1">
      <alignment horizontal="right" vertical="center"/>
    </xf>
    <xf numFmtId="0" fontId="7" fillId="0" borderId="25" xfId="0" applyFont="1" applyBorder="1" applyAlignment="1">
      <alignment horizontal="center" vertical="center"/>
    </xf>
    <xf numFmtId="0" fontId="8" fillId="0" borderId="23" xfId="0" applyFont="1" applyBorder="1" applyAlignment="1">
      <alignment vertical="center"/>
    </xf>
    <xf numFmtId="0" fontId="8" fillId="0" borderId="29" xfId="0" applyFont="1" applyBorder="1" applyAlignment="1">
      <alignment horizontal="center" vertical="center"/>
    </xf>
    <xf numFmtId="0" fontId="9" fillId="0" borderId="23" xfId="0" applyFont="1" applyBorder="1" applyAlignment="1">
      <alignment vertical="center"/>
    </xf>
    <xf numFmtId="0" fontId="9" fillId="0" borderId="29" xfId="0" applyFont="1" applyBorder="1" applyAlignment="1">
      <alignment horizontal="center" vertical="center"/>
    </xf>
    <xf numFmtId="43" fontId="9" fillId="0" borderId="4" xfId="0" applyNumberFormat="1" applyFont="1" applyBorder="1" applyAlignment="1">
      <alignment horizontal="right" vertical="center"/>
    </xf>
    <xf numFmtId="43" fontId="9" fillId="0" borderId="35" xfId="0" applyNumberFormat="1" applyFont="1" applyBorder="1" applyAlignment="1">
      <alignment horizontal="right" vertical="center"/>
    </xf>
    <xf numFmtId="0" fontId="8" fillId="0" borderId="28" xfId="0" applyFont="1" applyBorder="1" applyAlignment="1">
      <alignment horizontal="center" vertical="center"/>
    </xf>
    <xf numFmtId="0" fontId="10" fillId="5" borderId="0" xfId="0" applyFont="1" applyFill="1"/>
    <xf numFmtId="0" fontId="6" fillId="5" borderId="0" xfId="0" applyFont="1" applyFill="1"/>
    <xf numFmtId="0" fontId="11" fillId="5" borderId="0" xfId="0" applyFont="1" applyFill="1"/>
    <xf numFmtId="43" fontId="0" fillId="0" borderId="0" xfId="0" applyNumberFormat="1"/>
    <xf numFmtId="2" fontId="2" fillId="0" borderId="0" xfId="0" applyNumberFormat="1" applyFont="1" applyAlignment="1">
      <alignment vertical="center"/>
    </xf>
    <xf numFmtId="0" fontId="12" fillId="0" borderId="0" xfId="0" applyFont="1"/>
    <xf numFmtId="17" fontId="13" fillId="2" borderId="1" xfId="0" quotePrefix="1" applyNumberFormat="1" applyFont="1" applyFill="1" applyBorder="1" applyAlignment="1">
      <alignment horizontal="left" vertical="center"/>
    </xf>
    <xf numFmtId="0" fontId="13" fillId="2" borderId="1" xfId="0" applyFont="1" applyFill="1" applyBorder="1" applyAlignment="1">
      <alignment vertical="center"/>
    </xf>
    <xf numFmtId="0" fontId="15" fillId="2" borderId="1" xfId="0" applyFont="1" applyFill="1" applyBorder="1" applyAlignment="1">
      <alignment vertical="center"/>
    </xf>
    <xf numFmtId="0" fontId="13" fillId="2" borderId="1" xfId="0" applyFont="1" applyFill="1" applyBorder="1" applyAlignment="1">
      <alignment horizontal="right" vertical="center"/>
    </xf>
    <xf numFmtId="0" fontId="13" fillId="2" borderId="6" xfId="0" applyFont="1" applyFill="1" applyBorder="1" applyAlignment="1">
      <alignment horizontal="center" vertical="center"/>
    </xf>
    <xf numFmtId="0" fontId="13" fillId="2" borderId="7" xfId="0" applyFont="1" applyFill="1" applyBorder="1" applyAlignment="1">
      <alignment vertical="center"/>
    </xf>
    <xf numFmtId="0" fontId="13" fillId="2" borderId="6" xfId="0" applyFont="1" applyFill="1" applyBorder="1" applyAlignment="1">
      <alignment vertical="center"/>
    </xf>
    <xf numFmtId="0" fontId="13" fillId="2" borderId="0" xfId="0" applyFont="1" applyFill="1" applyAlignment="1">
      <alignment vertical="center"/>
    </xf>
    <xf numFmtId="0" fontId="13" fillId="2" borderId="3"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0" xfId="0" applyFont="1" applyFill="1" applyAlignment="1">
      <alignment horizontal="center" vertical="center"/>
    </xf>
    <xf numFmtId="0" fontId="13" fillId="2" borderId="5" xfId="0" applyFont="1" applyFill="1" applyBorder="1" applyAlignment="1">
      <alignment horizontal="center" vertical="center"/>
    </xf>
    <xf numFmtId="0" fontId="13" fillId="2" borderId="7" xfId="0" applyFont="1" applyFill="1" applyBorder="1" applyAlignment="1">
      <alignment horizontal="left" vertical="center"/>
    </xf>
    <xf numFmtId="0" fontId="13" fillId="2" borderId="6" xfId="0" applyFont="1" applyFill="1" applyBorder="1"/>
    <xf numFmtId="0" fontId="13" fillId="2" borderId="8" xfId="0" applyFont="1" applyFill="1" applyBorder="1"/>
    <xf numFmtId="0" fontId="13" fillId="3" borderId="20" xfId="0" applyFont="1" applyFill="1" applyBorder="1"/>
    <xf numFmtId="0" fontId="13" fillId="3" borderId="8" xfId="0" applyFont="1" applyFill="1" applyBorder="1"/>
    <xf numFmtId="0" fontId="13" fillId="2" borderId="0" xfId="0" applyFont="1" applyFill="1" applyAlignment="1">
      <alignment horizontal="left" vertical="center"/>
    </xf>
    <xf numFmtId="0" fontId="13" fillId="2" borderId="11" xfId="0" applyFont="1" applyFill="1" applyBorder="1" applyAlignment="1">
      <alignment vertical="center"/>
    </xf>
    <xf numFmtId="0" fontId="13" fillId="3" borderId="17" xfId="0" applyFont="1" applyFill="1" applyBorder="1" applyAlignment="1">
      <alignment vertical="center"/>
    </xf>
    <xf numFmtId="0" fontId="13" fillId="3" borderId="11" xfId="0" applyFont="1" applyFill="1" applyBorder="1" applyAlignment="1">
      <alignment vertical="center"/>
    </xf>
    <xf numFmtId="0" fontId="13" fillId="2" borderId="6" xfId="0" applyFont="1" applyFill="1" applyBorder="1" applyAlignment="1">
      <alignment horizontal="left" vertical="center"/>
    </xf>
    <xf numFmtId="0" fontId="19" fillId="2" borderId="0" xfId="0" applyFont="1" applyFill="1" applyAlignment="1">
      <alignment horizontal="center" vertical="center"/>
    </xf>
    <xf numFmtId="0" fontId="20" fillId="2" borderId="1" xfId="0" applyFont="1" applyFill="1" applyBorder="1" applyAlignment="1">
      <alignment vertical="center"/>
    </xf>
    <xf numFmtId="0" fontId="13" fillId="2" borderId="47" xfId="0" applyFont="1" applyFill="1" applyBorder="1" applyAlignment="1">
      <alignment vertical="center"/>
    </xf>
    <xf numFmtId="0" fontId="13" fillId="2" borderId="48" xfId="0" applyFont="1" applyFill="1" applyBorder="1" applyAlignment="1">
      <alignment horizontal="center" vertical="center"/>
    </xf>
    <xf numFmtId="0" fontId="13" fillId="2" borderId="48" xfId="0" applyFont="1" applyFill="1" applyBorder="1" applyAlignment="1">
      <alignment vertical="center"/>
    </xf>
    <xf numFmtId="0" fontId="13" fillId="2" borderId="2" xfId="0" applyFont="1" applyFill="1" applyBorder="1" applyAlignment="1">
      <alignment horizontal="center" vertical="center"/>
    </xf>
    <xf numFmtId="0" fontId="13" fillId="2" borderId="49" xfId="0" applyFont="1" applyFill="1" applyBorder="1" applyAlignment="1">
      <alignment horizontal="center" vertical="center"/>
    </xf>
    <xf numFmtId="0" fontId="2" fillId="2" borderId="48" xfId="0" applyFont="1" applyFill="1" applyBorder="1" applyAlignment="1">
      <alignment horizontal="center" vertical="center"/>
    </xf>
    <xf numFmtId="0" fontId="13" fillId="2" borderId="2" xfId="0" applyFont="1" applyFill="1" applyBorder="1" applyAlignment="1">
      <alignment vertical="center"/>
    </xf>
    <xf numFmtId="37" fontId="14" fillId="2" borderId="17" xfId="0" applyNumberFormat="1" applyFont="1" applyFill="1" applyBorder="1" applyAlignment="1">
      <alignment horizontal="right" vertical="center"/>
    </xf>
    <xf numFmtId="37" fontId="14" fillId="2" borderId="11" xfId="0" applyNumberFormat="1" applyFont="1" applyFill="1" applyBorder="1" applyAlignment="1">
      <alignment horizontal="right" vertical="center"/>
    </xf>
    <xf numFmtId="37" fontId="14" fillId="2" borderId="48" xfId="0" applyNumberFormat="1" applyFont="1" applyFill="1" applyBorder="1" applyAlignment="1">
      <alignment horizontal="right" vertical="center"/>
    </xf>
    <xf numFmtId="37" fontId="14" fillId="3" borderId="17" xfId="0" applyNumberFormat="1" applyFont="1" applyFill="1" applyBorder="1" applyAlignment="1">
      <alignment horizontal="right" vertical="center"/>
    </xf>
    <xf numFmtId="37" fontId="14" fillId="3" borderId="11" xfId="0" applyNumberFormat="1" applyFont="1" applyFill="1" applyBorder="1" applyAlignment="1">
      <alignment horizontal="right" vertical="center"/>
    </xf>
    <xf numFmtId="0" fontId="13" fillId="2" borderId="46" xfId="0" applyFont="1" applyFill="1" applyBorder="1" applyAlignment="1">
      <alignment horizontal="left" vertical="center"/>
    </xf>
    <xf numFmtId="37" fontId="14" fillId="3" borderId="45" xfId="0" applyNumberFormat="1" applyFont="1" applyFill="1" applyBorder="1" applyAlignment="1">
      <alignment horizontal="right" vertical="center"/>
    </xf>
    <xf numFmtId="37" fontId="14" fillId="3" borderId="50" xfId="0" applyNumberFormat="1" applyFont="1" applyFill="1" applyBorder="1" applyAlignment="1">
      <alignment horizontal="right" vertical="center"/>
    </xf>
    <xf numFmtId="0" fontId="13" fillId="2" borderId="51" xfId="0" applyFont="1" applyFill="1" applyBorder="1" applyAlignment="1">
      <alignment horizontal="left" vertical="center"/>
    </xf>
    <xf numFmtId="37" fontId="14" fillId="3" borderId="52" xfId="0" applyNumberFormat="1" applyFont="1" applyFill="1" applyBorder="1" applyAlignment="1">
      <alignment horizontal="right" vertical="center"/>
    </xf>
    <xf numFmtId="37" fontId="14" fillId="3" borderId="8" xfId="0" applyNumberFormat="1" applyFont="1" applyFill="1" applyBorder="1" applyAlignment="1">
      <alignment horizontal="right" vertical="center"/>
    </xf>
    <xf numFmtId="0" fontId="13" fillId="2" borderId="48" xfId="0" applyFont="1" applyFill="1" applyBorder="1" applyAlignment="1">
      <alignment horizontal="left" vertical="center"/>
    </xf>
    <xf numFmtId="37" fontId="14" fillId="3" borderId="53" xfId="0" applyNumberFormat="1" applyFont="1" applyFill="1" applyBorder="1" applyAlignment="1">
      <alignment horizontal="right" vertical="center"/>
    </xf>
    <xf numFmtId="37" fontId="14" fillId="3" borderId="10" xfId="0" applyNumberFormat="1" applyFont="1" applyFill="1" applyBorder="1" applyAlignment="1">
      <alignment horizontal="right" vertical="center"/>
    </xf>
    <xf numFmtId="37" fontId="14" fillId="3" borderId="12" xfId="0" applyNumberFormat="1" applyFont="1" applyFill="1" applyBorder="1" applyAlignment="1">
      <alignment horizontal="right" vertical="center"/>
    </xf>
    <xf numFmtId="0" fontId="13" fillId="2" borderId="14" xfId="0" applyFont="1" applyFill="1" applyBorder="1" applyAlignment="1">
      <alignment horizontal="left" vertical="center"/>
    </xf>
    <xf numFmtId="37" fontId="14" fillId="3" borderId="9" xfId="0" applyNumberFormat="1" applyFont="1" applyFill="1" applyBorder="1" applyAlignment="1">
      <alignment horizontal="right" vertical="center"/>
    </xf>
    <xf numFmtId="37" fontId="14" fillId="3" borderId="44" xfId="0" applyNumberFormat="1" applyFont="1" applyFill="1" applyBorder="1" applyAlignment="1">
      <alignment horizontal="right" vertical="center"/>
    </xf>
    <xf numFmtId="0" fontId="13" fillId="2" borderId="16" xfId="0" applyFont="1" applyFill="1" applyBorder="1" applyAlignment="1">
      <alignment horizontal="left" vertical="center"/>
    </xf>
    <xf numFmtId="37" fontId="14" fillId="2" borderId="10" xfId="0" applyNumberFormat="1" applyFont="1" applyFill="1" applyBorder="1" applyAlignment="1">
      <alignment horizontal="right" vertical="center"/>
    </xf>
    <xf numFmtId="37" fontId="14" fillId="2" borderId="12" xfId="0" applyNumberFormat="1" applyFont="1" applyFill="1" applyBorder="1" applyAlignment="1">
      <alignment horizontal="right" vertical="center"/>
    </xf>
    <xf numFmtId="37" fontId="14" fillId="2" borderId="55" xfId="0" applyNumberFormat="1" applyFont="1" applyFill="1" applyBorder="1" applyAlignment="1">
      <alignment horizontal="right" vertical="center"/>
    </xf>
    <xf numFmtId="37" fontId="14" fillId="2" borderId="56" xfId="0" applyNumberFormat="1" applyFont="1" applyFill="1" applyBorder="1" applyAlignment="1">
      <alignment horizontal="right" vertical="center"/>
    </xf>
    <xf numFmtId="37" fontId="14" fillId="3" borderId="38" xfId="0" applyNumberFormat="1" applyFont="1" applyFill="1" applyBorder="1" applyAlignment="1">
      <alignment horizontal="right" vertical="center"/>
    </xf>
    <xf numFmtId="0" fontId="13" fillId="2" borderId="1" xfId="0" applyFont="1" applyFill="1" applyBorder="1" applyAlignment="1">
      <alignment horizontal="left" vertical="center"/>
    </xf>
    <xf numFmtId="0" fontId="17" fillId="2" borderId="7" xfId="0" applyFont="1" applyFill="1" applyBorder="1" applyAlignment="1">
      <alignment horizontal="left" vertical="top"/>
    </xf>
    <xf numFmtId="0" fontId="17" fillId="2" borderId="0" xfId="0" applyFont="1" applyFill="1" applyAlignment="1">
      <alignment horizontal="center" vertical="top"/>
    </xf>
    <xf numFmtId="0" fontId="18" fillId="2" borderId="0" xfId="0" applyFont="1" applyFill="1" applyAlignment="1">
      <alignment horizontal="center" vertical="top"/>
    </xf>
    <xf numFmtId="0" fontId="16" fillId="2" borderId="0" xfId="0" quotePrefix="1" applyFont="1" applyFill="1" applyAlignment="1">
      <alignment horizontal="center" vertical="top"/>
    </xf>
    <xf numFmtId="0" fontId="13" fillId="2" borderId="7" xfId="0" applyFont="1" applyFill="1" applyBorder="1" applyAlignment="1">
      <alignment horizontal="center" vertical="center"/>
    </xf>
    <xf numFmtId="0" fontId="13" fillId="2" borderId="55" xfId="0" applyFont="1" applyFill="1" applyBorder="1" applyAlignment="1">
      <alignment horizontal="center" vertical="center"/>
    </xf>
    <xf numFmtId="0" fontId="13" fillId="2" borderId="55" xfId="0" applyFont="1" applyFill="1" applyBorder="1" applyAlignment="1">
      <alignment vertical="center"/>
    </xf>
    <xf numFmtId="0" fontId="2" fillId="0" borderId="66" xfId="0" applyFont="1" applyBorder="1" applyAlignment="1">
      <alignment horizontal="center" vertical="center"/>
    </xf>
    <xf numFmtId="2" fontId="2" fillId="0" borderId="66" xfId="0" applyNumberFormat="1" applyFont="1" applyBorder="1" applyAlignment="1">
      <alignment vertical="center"/>
    </xf>
    <xf numFmtId="43" fontId="2" fillId="0" borderId="66" xfId="0" applyNumberFormat="1" applyFont="1" applyBorder="1" applyAlignment="1">
      <alignment vertical="center"/>
    </xf>
    <xf numFmtId="43" fontId="7" fillId="0" borderId="54" xfId="0" applyNumberFormat="1" applyFont="1" applyBorder="1" applyAlignment="1">
      <alignment vertical="center"/>
    </xf>
    <xf numFmtId="43" fontId="8" fillId="0" borderId="67" xfId="0" applyNumberFormat="1" applyFont="1" applyBorder="1" applyAlignment="1">
      <alignment vertical="center"/>
    </xf>
    <xf numFmtId="43" fontId="9" fillId="0" borderId="67" xfId="0" applyNumberFormat="1" applyFont="1" applyBorder="1" applyAlignment="1">
      <alignment horizontal="right" vertical="center"/>
    </xf>
    <xf numFmtId="43" fontId="2" fillId="0" borderId="66" xfId="0" applyNumberFormat="1" applyFont="1" applyBorder="1" applyAlignment="1">
      <alignment horizontal="right" vertical="center"/>
    </xf>
    <xf numFmtId="0" fontId="0" fillId="0" borderId="0" xfId="0"/>
    <xf numFmtId="164" fontId="13" fillId="2" borderId="48" xfId="0" applyNumberFormat="1" applyFont="1" applyFill="1" applyBorder="1" applyAlignment="1">
      <alignment horizontal="center" vertical="center"/>
    </xf>
    <xf numFmtId="165" fontId="14" fillId="0" borderId="48" xfId="0" applyNumberFormat="1" applyFont="1" applyBorder="1" applyAlignment="1">
      <alignment horizontal="right" vertical="center"/>
    </xf>
    <xf numFmtId="165" fontId="14" fillId="0" borderId="48" xfId="0" applyNumberFormat="1" applyFont="1" applyBorder="1"/>
    <xf numFmtId="165" fontId="14" fillId="0" borderId="11" xfId="0" applyNumberFormat="1" applyFont="1" applyBorder="1"/>
    <xf numFmtId="165" fontId="14" fillId="0" borderId="17" xfId="0" applyNumberFormat="1" applyFont="1" applyBorder="1"/>
    <xf numFmtId="165" fontId="0" fillId="0" borderId="0" xfId="0" applyNumberFormat="1"/>
    <xf numFmtId="165" fontId="13" fillId="2" borderId="48" xfId="1" applyNumberFormat="1" applyFont="1" applyFill="1" applyBorder="1" applyAlignment="1">
      <alignment horizontal="right" vertical="center"/>
    </xf>
    <xf numFmtId="165" fontId="13" fillId="2" borderId="11" xfId="1" applyNumberFormat="1" applyFont="1" applyFill="1" applyBorder="1" applyAlignment="1">
      <alignment horizontal="right" vertical="center"/>
    </xf>
    <xf numFmtId="164" fontId="13" fillId="2" borderId="46" xfId="0" applyNumberFormat="1" applyFont="1" applyFill="1" applyBorder="1" applyAlignment="1">
      <alignment horizontal="center" vertical="center"/>
    </xf>
    <xf numFmtId="165" fontId="13" fillId="2" borderId="14" xfId="1" applyNumberFormat="1" applyFont="1" applyFill="1" applyBorder="1" applyAlignment="1">
      <alignment horizontal="right" vertical="center"/>
    </xf>
    <xf numFmtId="165" fontId="13" fillId="2" borderId="50" xfId="1" applyNumberFormat="1" applyFont="1" applyFill="1" applyBorder="1" applyAlignment="1">
      <alignment horizontal="right" vertical="center"/>
    </xf>
    <xf numFmtId="165" fontId="13" fillId="2" borderId="45" xfId="1" applyNumberFormat="1" applyFont="1" applyFill="1" applyBorder="1" applyAlignment="1">
      <alignment horizontal="right" vertical="center"/>
    </xf>
    <xf numFmtId="164" fontId="13" fillId="2" borderId="13" xfId="0" applyNumberFormat="1" applyFont="1" applyFill="1" applyBorder="1" applyAlignment="1">
      <alignment horizontal="center" vertical="center"/>
    </xf>
    <xf numFmtId="165" fontId="13" fillId="2" borderId="6" xfId="1" applyNumberFormat="1" applyFont="1" applyFill="1" applyBorder="1" applyAlignment="1">
      <alignment horizontal="right" vertical="center"/>
    </xf>
    <xf numFmtId="165" fontId="13" fillId="2" borderId="13" xfId="1" applyNumberFormat="1" applyFont="1" applyFill="1" applyBorder="1" applyAlignment="1">
      <alignment horizontal="right" vertical="center"/>
    </xf>
    <xf numFmtId="165" fontId="13" fillId="2" borderId="9" xfId="1" applyNumberFormat="1" applyFont="1" applyFill="1" applyBorder="1" applyAlignment="1">
      <alignment horizontal="right" vertical="center"/>
    </xf>
    <xf numFmtId="165" fontId="13" fillId="2" borderId="15" xfId="1" applyNumberFormat="1" applyFont="1" applyFill="1" applyBorder="1" applyAlignment="1">
      <alignment horizontal="right" vertical="center"/>
    </xf>
    <xf numFmtId="165" fontId="13" fillId="2" borderId="44" xfId="1" applyNumberFormat="1" applyFont="1" applyFill="1" applyBorder="1" applyAlignment="1">
      <alignment horizontal="right" vertical="center"/>
    </xf>
    <xf numFmtId="165" fontId="13" fillId="2" borderId="12" xfId="1" applyNumberFormat="1" applyFont="1" applyFill="1" applyBorder="1" applyAlignment="1">
      <alignment horizontal="right" vertical="center"/>
    </xf>
    <xf numFmtId="165" fontId="13" fillId="2" borderId="46" xfId="1" applyNumberFormat="1" applyFont="1" applyFill="1" applyBorder="1" applyAlignment="1">
      <alignment horizontal="right" vertical="center"/>
    </xf>
    <xf numFmtId="164" fontId="13" fillId="2" borderId="15" xfId="0" applyNumberFormat="1" applyFont="1" applyFill="1" applyBorder="1" applyAlignment="1">
      <alignment horizontal="center" vertical="center"/>
    </xf>
    <xf numFmtId="165" fontId="13" fillId="2" borderId="7" xfId="1" applyNumberFormat="1" applyFont="1" applyFill="1" applyBorder="1" applyAlignment="1">
      <alignment horizontal="right" vertical="center"/>
    </xf>
    <xf numFmtId="165" fontId="13" fillId="2" borderId="1" xfId="1" applyNumberFormat="1" applyFont="1" applyFill="1" applyBorder="1" applyAlignment="1">
      <alignment horizontal="right" vertical="center"/>
    </xf>
    <xf numFmtId="164" fontId="13" fillId="2" borderId="6" xfId="0" applyNumberFormat="1" applyFont="1" applyFill="1" applyBorder="1" applyAlignment="1">
      <alignment horizontal="center" vertical="center"/>
    </xf>
    <xf numFmtId="165" fontId="13" fillId="2" borderId="0" xfId="1" applyNumberFormat="1" applyFont="1" applyFill="1" applyAlignment="1">
      <alignment horizontal="right" vertical="center"/>
    </xf>
    <xf numFmtId="165" fontId="14" fillId="3" borderId="17" xfId="0" applyNumberFormat="1" applyFont="1" applyFill="1" applyBorder="1" applyAlignment="1">
      <alignment horizontal="right" vertical="center"/>
    </xf>
    <xf numFmtId="165" fontId="14" fillId="3" borderId="11" xfId="0" applyNumberFormat="1" applyFont="1" applyFill="1" applyBorder="1" applyAlignment="1">
      <alignment horizontal="right" vertical="center"/>
    </xf>
    <xf numFmtId="165" fontId="14" fillId="3" borderId="12" xfId="0" applyNumberFormat="1" applyFont="1" applyFill="1" applyBorder="1" applyAlignment="1">
      <alignment horizontal="right" vertical="center"/>
    </xf>
    <xf numFmtId="164" fontId="13" fillId="2" borderId="54" xfId="0" applyNumberFormat="1" applyFont="1" applyFill="1" applyBorder="1" applyAlignment="1">
      <alignment horizontal="left" vertical="center"/>
    </xf>
    <xf numFmtId="165" fontId="13" fillId="2" borderId="55" xfId="1" applyNumberFormat="1" applyFont="1" applyFill="1" applyBorder="1" applyAlignment="1">
      <alignment horizontal="right" vertical="center"/>
    </xf>
    <xf numFmtId="164" fontId="13" fillId="2" borderId="55" xfId="0" applyNumberFormat="1" applyFont="1" applyFill="1" applyBorder="1" applyAlignment="1">
      <alignment horizontal="center" vertical="center"/>
    </xf>
    <xf numFmtId="165" fontId="14" fillId="2" borderId="55" xfId="1" applyNumberFormat="1" applyFont="1" applyFill="1" applyBorder="1" applyAlignment="1">
      <alignment horizontal="right" vertical="center"/>
    </xf>
    <xf numFmtId="165" fontId="14" fillId="2" borderId="56" xfId="1" applyNumberFormat="1" applyFont="1" applyFill="1" applyBorder="1" applyAlignment="1">
      <alignment horizontal="right" vertical="center"/>
    </xf>
    <xf numFmtId="165" fontId="13" fillId="2" borderId="17" xfId="1" applyNumberFormat="1" applyFont="1" applyFill="1" applyBorder="1" applyAlignment="1">
      <alignment horizontal="right" vertical="center"/>
    </xf>
    <xf numFmtId="166" fontId="14" fillId="0" borderId="39" xfId="0" applyNumberFormat="1" applyFont="1" applyBorder="1" applyAlignment="1">
      <alignment horizontal="right" vertical="center"/>
    </xf>
    <xf numFmtId="166" fontId="14" fillId="0" borderId="40" xfId="0" applyNumberFormat="1" applyFont="1" applyBorder="1" applyAlignment="1">
      <alignment horizontal="right" vertical="center"/>
    </xf>
    <xf numFmtId="166" fontId="14" fillId="0" borderId="41" xfId="0" applyNumberFormat="1" applyFont="1" applyBorder="1" applyAlignment="1">
      <alignment horizontal="right" vertical="center"/>
    </xf>
    <xf numFmtId="166" fontId="14" fillId="0" borderId="42" xfId="0" applyNumberFormat="1" applyFont="1" applyBorder="1" applyAlignment="1">
      <alignment horizontal="right" vertical="center"/>
    </xf>
    <xf numFmtId="166" fontId="14" fillId="0" borderId="43" xfId="0" applyNumberFormat="1" applyFont="1" applyBorder="1" applyAlignment="1">
      <alignment horizontal="right" vertical="center"/>
    </xf>
    <xf numFmtId="164" fontId="13" fillId="2" borderId="14" xfId="0" applyNumberFormat="1" applyFont="1" applyFill="1" applyBorder="1" applyAlignment="1">
      <alignment horizontal="center" vertical="center"/>
    </xf>
    <xf numFmtId="166" fontId="14" fillId="0" borderId="14" xfId="0" applyNumberFormat="1" applyFont="1" applyBorder="1" applyAlignment="1">
      <alignment horizontal="right" vertical="center"/>
    </xf>
    <xf numFmtId="166" fontId="14" fillId="0" borderId="15" xfId="0" applyNumberFormat="1" applyFont="1" applyBorder="1" applyAlignment="1">
      <alignment horizontal="right" vertical="center"/>
    </xf>
    <xf numFmtId="166" fontId="14" fillId="0" borderId="45" xfId="0" applyNumberFormat="1" applyFont="1" applyBorder="1" applyAlignment="1">
      <alignment horizontal="right" vertical="center"/>
    </xf>
    <xf numFmtId="166" fontId="14" fillId="0" borderId="50" xfId="0" applyNumberFormat="1" applyFont="1" applyBorder="1" applyAlignment="1">
      <alignment horizontal="right" vertical="center"/>
    </xf>
    <xf numFmtId="166" fontId="14" fillId="0" borderId="44" xfId="0" applyNumberFormat="1" applyFont="1" applyBorder="1" applyAlignment="1">
      <alignment horizontal="right" vertical="center"/>
    </xf>
    <xf numFmtId="164" fontId="17" fillId="2" borderId="13" xfId="0" applyNumberFormat="1" applyFont="1" applyFill="1" applyBorder="1" applyAlignment="1">
      <alignment horizontal="center" vertical="top"/>
    </xf>
    <xf numFmtId="167" fontId="17" fillId="2" borderId="7" xfId="0" applyNumberFormat="1" applyFont="1" applyFill="1" applyBorder="1" applyAlignment="1">
      <alignment horizontal="right"/>
    </xf>
    <xf numFmtId="167" fontId="17" fillId="2" borderId="9" xfId="0" applyNumberFormat="1" applyFont="1" applyFill="1" applyBorder="1" applyAlignment="1">
      <alignment horizontal="right"/>
    </xf>
    <xf numFmtId="168" fontId="2" fillId="0" borderId="26" xfId="0" applyNumberFormat="1" applyFont="1" applyBorder="1" applyAlignment="1">
      <alignment horizontal="left" vertical="center"/>
    </xf>
    <xf numFmtId="168" fontId="2" fillId="0" borderId="30" xfId="0" applyNumberFormat="1" applyFont="1" applyBorder="1" applyAlignment="1">
      <alignment horizontal="left" vertical="center"/>
    </xf>
    <xf numFmtId="0" fontId="16" fillId="2" borderId="0" xfId="0" applyFont="1" applyFill="1" applyAlignment="1">
      <alignment horizontal="center" vertical="top"/>
    </xf>
    <xf numFmtId="0" fontId="0" fillId="0" borderId="0" xfId="0"/>
    <xf numFmtId="0" fontId="16" fillId="2" borderId="0" xfId="0" applyFont="1" applyFill="1" applyAlignment="1">
      <alignment horizontal="center"/>
    </xf>
    <xf numFmtId="0" fontId="21" fillId="4" borderId="68" xfId="0" applyFont="1" applyFill="1" applyBorder="1" applyAlignment="1">
      <alignment horizontal="left" vertical="center" wrapText="1"/>
    </xf>
    <xf numFmtId="0" fontId="0" fillId="0" borderId="18" xfId="0" applyBorder="1"/>
    <xf numFmtId="0" fontId="0" fillId="0" borderId="19" xfId="0" applyBorder="1"/>
    <xf numFmtId="0" fontId="13" fillId="2" borderId="69" xfId="0" applyFont="1" applyFill="1" applyBorder="1" applyAlignment="1">
      <alignment horizontal="center" vertical="center"/>
    </xf>
    <xf numFmtId="0" fontId="0" fillId="0" borderId="21" xfId="0" applyBorder="1"/>
  </cellXfs>
  <cellStyles count="106">
    <cellStyle name="20% - Accent1 2" xfId="16" xr:uid="{00000000-0005-0000-0000-000010000000}"/>
    <cellStyle name="20% - Accent2 2" xfId="17" xr:uid="{00000000-0005-0000-0000-000011000000}"/>
    <cellStyle name="20% - Accent3 2" xfId="18" xr:uid="{00000000-0005-0000-0000-000012000000}"/>
    <cellStyle name="20% - Accent4 2" xfId="19" xr:uid="{00000000-0005-0000-0000-000013000000}"/>
    <cellStyle name="20% - Accent5 2" xfId="20" xr:uid="{00000000-0005-0000-0000-000014000000}"/>
    <cellStyle name="20% - Accent6 2" xfId="21" xr:uid="{00000000-0005-0000-0000-000015000000}"/>
    <cellStyle name="40% - Accent1 2" xfId="22" xr:uid="{00000000-0005-0000-0000-000016000000}"/>
    <cellStyle name="40% - Accent2 2" xfId="23" xr:uid="{00000000-0005-0000-0000-000017000000}"/>
    <cellStyle name="40% - Accent3 2" xfId="24" xr:uid="{00000000-0005-0000-0000-000018000000}"/>
    <cellStyle name="40% - Accent4 2" xfId="25" xr:uid="{00000000-0005-0000-0000-000019000000}"/>
    <cellStyle name="40% - Accent5 2" xfId="26" xr:uid="{00000000-0005-0000-0000-00001A000000}"/>
    <cellStyle name="40% - Accent6 2" xfId="27" xr:uid="{00000000-0005-0000-0000-00001B000000}"/>
    <cellStyle name="60% - Accent1 2" xfId="28" xr:uid="{00000000-0005-0000-0000-00001C000000}"/>
    <cellStyle name="60% - Accent2 2" xfId="29" xr:uid="{00000000-0005-0000-0000-00001D000000}"/>
    <cellStyle name="60% - Accent3 2" xfId="30" xr:uid="{00000000-0005-0000-0000-00001E000000}"/>
    <cellStyle name="60% - Accent4 2" xfId="31" xr:uid="{00000000-0005-0000-0000-00001F000000}"/>
    <cellStyle name="60% - Accent5 2" xfId="32" xr:uid="{00000000-0005-0000-0000-000020000000}"/>
    <cellStyle name="60% - Accent6 2" xfId="33" xr:uid="{00000000-0005-0000-0000-000021000000}"/>
    <cellStyle name="Accent1 2" xfId="34" xr:uid="{00000000-0005-0000-0000-000022000000}"/>
    <cellStyle name="Accent2 2" xfId="35" xr:uid="{00000000-0005-0000-0000-000023000000}"/>
    <cellStyle name="Accent3 2" xfId="36" xr:uid="{00000000-0005-0000-0000-000024000000}"/>
    <cellStyle name="Accent4 2" xfId="37" xr:uid="{00000000-0005-0000-0000-000025000000}"/>
    <cellStyle name="Accent5 2" xfId="38" xr:uid="{00000000-0005-0000-0000-000026000000}"/>
    <cellStyle name="Accent6 2" xfId="39" xr:uid="{00000000-0005-0000-0000-000027000000}"/>
    <cellStyle name="Bad 2" xfId="40" xr:uid="{00000000-0005-0000-0000-000028000000}"/>
    <cellStyle name="Calculation 2" xfId="41" xr:uid="{00000000-0005-0000-0000-000029000000}"/>
    <cellStyle name="Check Cell 2" xfId="42" xr:uid="{00000000-0005-0000-0000-00002A000000}"/>
    <cellStyle name="Comma" xfId="1" builtinId="3"/>
    <cellStyle name="Comma 2" xfId="3" xr:uid="{00000000-0005-0000-0000-000003000000}"/>
    <cellStyle name="Comma 2 2" xfId="89" xr:uid="{00000000-0005-0000-0000-000059000000}"/>
    <cellStyle name="Comma 2 3" xfId="94" xr:uid="{00000000-0005-0000-0000-00005E000000}"/>
    <cellStyle name="Comma 3" xfId="7" xr:uid="{00000000-0005-0000-0000-000007000000}"/>
    <cellStyle name="Comma 3 2" xfId="95" xr:uid="{00000000-0005-0000-0000-00005F000000}"/>
    <cellStyle name="Comma 3 3" xfId="90" xr:uid="{00000000-0005-0000-0000-00005A000000}"/>
    <cellStyle name="Comma 4" xfId="6" xr:uid="{00000000-0005-0000-0000-000006000000}"/>
    <cellStyle name="Comma 5" xfId="4" xr:uid="{00000000-0005-0000-0000-000004000000}"/>
    <cellStyle name="Comma 5 2" xfId="87" xr:uid="{00000000-0005-0000-0000-000057000000}"/>
    <cellStyle name="Comma 5 3" xfId="104" xr:uid="{00000000-0005-0000-0000-000068000000}"/>
    <cellStyle name="Comma 6" xfId="64" xr:uid="{00000000-0005-0000-0000-000040000000}"/>
    <cellStyle name="Comma 7" xfId="93" xr:uid="{00000000-0005-0000-0000-00005D000000}"/>
    <cellStyle name="Comma 8" xfId="86" xr:uid="{00000000-0005-0000-0000-000056000000}"/>
    <cellStyle name="Crystal Report Data" xfId="83" xr:uid="{00000000-0005-0000-0000-000053000000}"/>
    <cellStyle name="Crystal Report Field" xfId="84" xr:uid="{00000000-0005-0000-0000-000054000000}"/>
    <cellStyle name="Currency 2" xfId="43" xr:uid="{00000000-0005-0000-0000-00002B000000}"/>
    <cellStyle name="Currency 3" xfId="44" xr:uid="{00000000-0005-0000-0000-00002C000000}"/>
    <cellStyle name="Explanatory Text 2" xfId="45" xr:uid="{00000000-0005-0000-0000-00002D000000}"/>
    <cellStyle name="Good 2" xfId="46" xr:uid="{00000000-0005-0000-0000-00002E000000}"/>
    <cellStyle name="Heading 1 2" xfId="47" xr:uid="{00000000-0005-0000-0000-00002F000000}"/>
    <cellStyle name="Heading 2 2" xfId="48" xr:uid="{00000000-0005-0000-0000-000030000000}"/>
    <cellStyle name="Heading 3 2" xfId="49" xr:uid="{00000000-0005-0000-0000-000031000000}"/>
    <cellStyle name="Heading 4 2" xfId="50" xr:uid="{00000000-0005-0000-0000-000032000000}"/>
    <cellStyle name="Input 2" xfId="51" xr:uid="{00000000-0005-0000-0000-000033000000}"/>
    <cellStyle name="Linked Cell 2" xfId="52" xr:uid="{00000000-0005-0000-0000-000034000000}"/>
    <cellStyle name="Neutral 2" xfId="53" xr:uid="{00000000-0005-0000-0000-000035000000}"/>
    <cellStyle name="Normal" xfId="0" builtinId="0"/>
    <cellStyle name="Normal 10" xfId="92" xr:uid="{00000000-0005-0000-0000-00005C000000}"/>
    <cellStyle name="Normal 11" xfId="82" xr:uid="{00000000-0005-0000-0000-000052000000}"/>
    <cellStyle name="Normal 2" xfId="2" xr:uid="{00000000-0005-0000-0000-000002000000}"/>
    <cellStyle name="Normal 2 2" xfId="8" xr:uid="{00000000-0005-0000-0000-000008000000}"/>
    <cellStyle name="Normal 2 2 2" xfId="102" xr:uid="{00000000-0005-0000-0000-000066000000}"/>
    <cellStyle name="Normal 2 2 3" xfId="88" xr:uid="{00000000-0005-0000-0000-000058000000}"/>
    <cellStyle name="Normal 2 2 4" xfId="105" xr:uid="{00000000-0005-0000-0000-000069000000}"/>
    <cellStyle name="Normal 2 3" xfId="96" xr:uid="{00000000-0005-0000-0000-000060000000}"/>
    <cellStyle name="Normal 3" xfId="9" xr:uid="{00000000-0005-0000-0000-000009000000}"/>
    <cellStyle name="Normal 3 2" xfId="69" xr:uid="{00000000-0005-0000-0000-000045000000}"/>
    <cellStyle name="Normal 3 2 2" xfId="75" xr:uid="{00000000-0005-0000-0000-00004B000000}"/>
    <cellStyle name="Normal 3 2 3" xfId="81" xr:uid="{00000000-0005-0000-0000-000051000000}"/>
    <cellStyle name="Normal 3 2 4" xfId="62" xr:uid="{00000000-0005-0000-0000-00003E000000}"/>
    <cellStyle name="Normal 3 2 4 2" xfId="101" xr:uid="{00000000-0005-0000-0000-000065000000}"/>
    <cellStyle name="Normal 3 3" xfId="71" xr:uid="{00000000-0005-0000-0000-000047000000}"/>
    <cellStyle name="Normal 3 3 2" xfId="77" xr:uid="{00000000-0005-0000-0000-00004D000000}"/>
    <cellStyle name="Normal 3 4" xfId="72" xr:uid="{00000000-0005-0000-0000-000048000000}"/>
    <cellStyle name="Normal 3 5" xfId="66" xr:uid="{00000000-0005-0000-0000-000042000000}"/>
    <cellStyle name="Normal 3 6" xfId="79" xr:uid="{00000000-0005-0000-0000-00004F000000}"/>
    <cellStyle name="Normal 3 7" xfId="54" xr:uid="{00000000-0005-0000-0000-000036000000}"/>
    <cellStyle name="Normal 3 8" xfId="97" xr:uid="{00000000-0005-0000-0000-000061000000}"/>
    <cellStyle name="Normal 3 9" xfId="85" xr:uid="{00000000-0005-0000-0000-000055000000}"/>
    <cellStyle name="Normal 4" xfId="10" xr:uid="{00000000-0005-0000-0000-00000A000000}"/>
    <cellStyle name="Normal 4 2" xfId="68" xr:uid="{00000000-0005-0000-0000-000044000000}"/>
    <cellStyle name="Normal 4 2 2" xfId="74" xr:uid="{00000000-0005-0000-0000-00004A000000}"/>
    <cellStyle name="Normal 4 2 3" xfId="80" xr:uid="{00000000-0005-0000-0000-000050000000}"/>
    <cellStyle name="Normal 4 3" xfId="70" xr:uid="{00000000-0005-0000-0000-000046000000}"/>
    <cellStyle name="Normal 4 3 2" xfId="76" xr:uid="{00000000-0005-0000-0000-00004C000000}"/>
    <cellStyle name="Normal 4 4" xfId="73" xr:uid="{00000000-0005-0000-0000-000049000000}"/>
    <cellStyle name="Normal 4 5" xfId="67" xr:uid="{00000000-0005-0000-0000-000043000000}"/>
    <cellStyle name="Normal 4 6" xfId="78" xr:uid="{00000000-0005-0000-0000-00004E000000}"/>
    <cellStyle name="Normal 4 7" xfId="98" xr:uid="{00000000-0005-0000-0000-000062000000}"/>
    <cellStyle name="Normal 5" xfId="11" xr:uid="{00000000-0005-0000-0000-00000B000000}"/>
    <cellStyle name="Normal 5 2" xfId="61" xr:uid="{00000000-0005-0000-0000-00003D000000}"/>
    <cellStyle name="Normal 5 3" xfId="99" xr:uid="{00000000-0005-0000-0000-000063000000}"/>
    <cellStyle name="Normal 6" xfId="5" xr:uid="{00000000-0005-0000-0000-000005000000}"/>
    <cellStyle name="Normal 6 2" xfId="15" xr:uid="{00000000-0005-0000-0000-00000F000000}"/>
    <cellStyle name="Normal 7" xfId="14" xr:uid="{00000000-0005-0000-0000-00000E000000}"/>
    <cellStyle name="Normal 7 2" xfId="63" xr:uid="{00000000-0005-0000-0000-00003F000000}"/>
    <cellStyle name="Normal 8" xfId="103" xr:uid="{00000000-0005-0000-0000-000067000000}"/>
    <cellStyle name="Normal 9" xfId="65" xr:uid="{00000000-0005-0000-0000-000041000000}"/>
    <cellStyle name="Note 2" xfId="55" xr:uid="{00000000-0005-0000-0000-000037000000}"/>
    <cellStyle name="Output 2" xfId="56" xr:uid="{00000000-0005-0000-0000-000038000000}"/>
    <cellStyle name="Percent 2" xfId="12" xr:uid="{00000000-0005-0000-0000-00000C000000}"/>
    <cellStyle name="Percent 2 2" xfId="57" xr:uid="{00000000-0005-0000-0000-000039000000}"/>
    <cellStyle name="Percent 2 3" xfId="100" xr:uid="{00000000-0005-0000-0000-000064000000}"/>
    <cellStyle name="Percent 2 4" xfId="91" xr:uid="{00000000-0005-0000-0000-00005B000000}"/>
    <cellStyle name="Percent 3" xfId="13" xr:uid="{00000000-0005-0000-0000-00000D000000}"/>
    <cellStyle name="Title 2" xfId="58" xr:uid="{00000000-0005-0000-0000-00003A000000}"/>
    <cellStyle name="Total 2" xfId="59" xr:uid="{00000000-0005-0000-0000-00003B000000}"/>
    <cellStyle name="Warning Text 2" xfId="60" xr:uid="{00000000-0005-0000-0000-00003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42"/>
  <sheetViews>
    <sheetView tabSelected="1" zoomScale="70" zoomScaleNormal="70" workbookViewId="0">
      <selection activeCell="E45" sqref="E45"/>
    </sheetView>
  </sheetViews>
  <sheetFormatPr defaultRowHeight="14.5"/>
  <cols>
    <col min="1" max="1" width="9.08984375" style="122" customWidth="1"/>
    <col min="2" max="2" width="27.90625" style="122" customWidth="1"/>
    <col min="3" max="3" width="22.08984375" style="122" customWidth="1"/>
    <col min="4" max="4" width="16.36328125" style="122" customWidth="1"/>
    <col min="5" max="5" width="14.453125" style="122" customWidth="1"/>
    <col min="6" max="6" width="17.08984375" style="122" customWidth="1"/>
    <col min="7" max="7" width="18.54296875" style="122" customWidth="1"/>
    <col min="8" max="8" width="20.08984375" style="122" customWidth="1"/>
    <col min="9" max="9" width="18.453125" style="122" customWidth="1"/>
    <col min="10" max="10" width="18.08984375" style="122" customWidth="1"/>
    <col min="11" max="11" width="21.54296875" style="122" customWidth="1"/>
    <col min="12" max="12" width="21" style="122" bestFit="1" customWidth="1"/>
    <col min="18" max="18" width="12" style="122" bestFit="1" customWidth="1"/>
  </cols>
  <sheetData>
    <row r="1" spans="1:12" ht="17.399999999999999" customHeight="1">
      <c r="A1" s="175" t="s">
        <v>0</v>
      </c>
      <c r="B1" s="174"/>
      <c r="C1" s="174"/>
      <c r="D1" s="174"/>
      <c r="E1" s="174"/>
      <c r="F1" s="174"/>
      <c r="G1" s="174"/>
      <c r="H1" s="174"/>
      <c r="I1" s="174"/>
      <c r="J1" s="174"/>
      <c r="K1" s="174"/>
    </row>
    <row r="2" spans="1:12" ht="17.399999999999999" customHeight="1">
      <c r="A2" s="173" t="s">
        <v>1</v>
      </c>
      <c r="B2" s="174"/>
      <c r="C2" s="174"/>
      <c r="D2" s="174"/>
      <c r="E2" s="174"/>
      <c r="F2" s="174"/>
      <c r="G2" s="174"/>
      <c r="H2" s="174"/>
      <c r="I2" s="174"/>
      <c r="J2" s="174"/>
      <c r="K2" s="174"/>
    </row>
    <row r="3" spans="1:12" ht="24.65" customHeight="1">
      <c r="A3" s="111"/>
      <c r="B3" s="109"/>
      <c r="C3" s="109"/>
      <c r="D3" s="109"/>
      <c r="E3" s="109"/>
      <c r="F3" s="74"/>
      <c r="G3" s="110"/>
      <c r="H3" s="110"/>
      <c r="I3" s="109"/>
      <c r="J3" s="109"/>
      <c r="K3" s="109"/>
    </row>
    <row r="4" spans="1:12" ht="17.399999999999999" customHeight="1">
      <c r="A4" s="52" t="s">
        <v>2</v>
      </c>
      <c r="B4" s="53"/>
      <c r="C4" s="75"/>
      <c r="D4" s="54"/>
      <c r="E4" s="54"/>
      <c r="F4" s="75"/>
      <c r="G4" s="53"/>
      <c r="H4" s="53"/>
      <c r="I4" s="53"/>
      <c r="J4" s="53"/>
      <c r="K4" s="55" t="s">
        <v>3</v>
      </c>
    </row>
    <row r="5" spans="1:12">
      <c r="A5" s="56"/>
      <c r="B5" s="57"/>
      <c r="C5" s="56"/>
      <c r="D5" s="112"/>
      <c r="E5" s="58"/>
      <c r="F5" s="57"/>
      <c r="G5" s="58"/>
      <c r="H5" s="57"/>
      <c r="I5" s="179" t="s">
        <v>4</v>
      </c>
      <c r="J5" s="180"/>
      <c r="K5" s="76"/>
    </row>
    <row r="6" spans="1:12">
      <c r="A6" s="113"/>
      <c r="B6" s="59"/>
      <c r="C6" s="113"/>
      <c r="D6" s="62"/>
      <c r="E6" s="114"/>
      <c r="F6" s="59"/>
      <c r="G6" s="113"/>
      <c r="H6" s="59"/>
      <c r="I6" s="60"/>
      <c r="J6" s="61" t="s">
        <v>5</v>
      </c>
      <c r="K6" s="79" t="s">
        <v>6</v>
      </c>
    </row>
    <row r="7" spans="1:12">
      <c r="A7" s="113" t="s">
        <v>7</v>
      </c>
      <c r="B7" s="62" t="s">
        <v>8</v>
      </c>
      <c r="C7" s="113" t="s">
        <v>9</v>
      </c>
      <c r="D7" s="59"/>
      <c r="E7" s="114"/>
      <c r="F7" s="62" t="s">
        <v>10</v>
      </c>
      <c r="G7" s="113"/>
      <c r="H7" s="62"/>
      <c r="I7" s="63" t="s">
        <v>6</v>
      </c>
      <c r="J7" s="80" t="s">
        <v>11</v>
      </c>
      <c r="K7" s="79" t="s">
        <v>12</v>
      </c>
    </row>
    <row r="8" spans="1:12">
      <c r="A8" s="77"/>
      <c r="B8" s="59"/>
      <c r="C8" s="77" t="s">
        <v>13</v>
      </c>
      <c r="D8" s="62" t="s">
        <v>14</v>
      </c>
      <c r="E8" s="77" t="s">
        <v>15</v>
      </c>
      <c r="F8" s="62" t="s">
        <v>13</v>
      </c>
      <c r="G8" s="77" t="s">
        <v>5</v>
      </c>
      <c r="H8" s="62" t="s">
        <v>16</v>
      </c>
      <c r="I8" s="63" t="s">
        <v>9</v>
      </c>
      <c r="J8" s="80" t="s">
        <v>17</v>
      </c>
      <c r="K8" s="79" t="s">
        <v>13</v>
      </c>
    </row>
    <row r="9" spans="1:12">
      <c r="A9" s="77"/>
      <c r="B9" s="59"/>
      <c r="C9" s="81" t="s">
        <v>18</v>
      </c>
      <c r="D9" s="62" t="s">
        <v>19</v>
      </c>
      <c r="E9" s="78"/>
      <c r="F9" s="62" t="s">
        <v>20</v>
      </c>
      <c r="G9" s="77" t="s">
        <v>21</v>
      </c>
      <c r="H9" s="62" t="s">
        <v>22</v>
      </c>
      <c r="I9" s="63" t="s">
        <v>23</v>
      </c>
      <c r="J9" s="80" t="s">
        <v>16</v>
      </c>
      <c r="K9" s="82"/>
    </row>
    <row r="10" spans="1:12">
      <c r="A10" s="77"/>
      <c r="B10" s="59"/>
      <c r="C10" s="78"/>
      <c r="D10" s="59"/>
      <c r="E10" s="78"/>
      <c r="F10" s="62"/>
      <c r="G10" s="77"/>
      <c r="H10" s="62"/>
      <c r="I10" s="63"/>
      <c r="J10" s="80" t="s">
        <v>22</v>
      </c>
      <c r="K10" s="82"/>
    </row>
    <row r="11" spans="1:12">
      <c r="A11" s="56"/>
      <c r="B11" s="64" t="s">
        <v>24</v>
      </c>
      <c r="C11" s="65"/>
      <c r="D11" s="65"/>
      <c r="E11" s="65"/>
      <c r="F11" s="65"/>
      <c r="G11" s="65"/>
      <c r="H11" s="66"/>
      <c r="I11" s="67"/>
      <c r="J11" s="68"/>
      <c r="K11" s="67"/>
    </row>
    <row r="12" spans="1:12">
      <c r="A12" s="77"/>
      <c r="B12" s="69" t="s">
        <v>25</v>
      </c>
      <c r="C12" s="78"/>
      <c r="D12" s="78"/>
      <c r="E12" s="78"/>
      <c r="F12" s="78"/>
      <c r="G12" s="78"/>
      <c r="H12" s="70"/>
      <c r="I12" s="71"/>
      <c r="J12" s="72"/>
      <c r="K12" s="71"/>
    </row>
    <row r="13" spans="1:12">
      <c r="A13" s="123">
        <v>2022</v>
      </c>
      <c r="B13" s="69" t="s">
        <v>26</v>
      </c>
      <c r="C13" s="124">
        <v>148757.0691000029</v>
      </c>
      <c r="D13" s="125">
        <v>1163.7081854959999</v>
      </c>
      <c r="E13" s="125">
        <v>1601.0665416930001</v>
      </c>
      <c r="F13" s="125">
        <v>50142.686754663991</v>
      </c>
      <c r="G13" s="125">
        <v>11676.65820473</v>
      </c>
      <c r="H13" s="126">
        <v>61651.784433413988</v>
      </c>
      <c r="I13" s="127">
        <v>198899.7558546669</v>
      </c>
      <c r="J13" s="126">
        <v>73328.442638143984</v>
      </c>
      <c r="K13" s="127">
        <v>274992.97321999993</v>
      </c>
      <c r="L13" s="128"/>
    </row>
    <row r="14" spans="1:12">
      <c r="A14" s="123">
        <v>2021</v>
      </c>
      <c r="B14" s="69"/>
      <c r="C14" s="129">
        <v>140582.751649629</v>
      </c>
      <c r="D14" s="129">
        <v>1081.577555798</v>
      </c>
      <c r="E14" s="129">
        <v>1539.4851369109999</v>
      </c>
      <c r="F14" s="129">
        <v>50523.296584843993</v>
      </c>
      <c r="G14" s="129">
        <v>11388.642473092001</v>
      </c>
      <c r="H14" s="130">
        <v>58574.927999725987</v>
      </c>
      <c r="I14" s="83">
        <v>191106.04823447301</v>
      </c>
      <c r="J14" s="84">
        <v>69963.570472817984</v>
      </c>
      <c r="K14" s="83">
        <v>263690.6814</v>
      </c>
      <c r="L14" s="128"/>
    </row>
    <row r="15" spans="1:12">
      <c r="A15" s="123">
        <v>2022</v>
      </c>
      <c r="B15" s="69" t="s">
        <v>27</v>
      </c>
      <c r="C15" s="125">
        <v>229876.839976819</v>
      </c>
      <c r="D15" s="125">
        <v>2233.247251030999</v>
      </c>
      <c r="E15" s="125">
        <v>2230.7215068840001</v>
      </c>
      <c r="F15" s="125">
        <v>99865.022729045013</v>
      </c>
      <c r="G15" s="125">
        <v>19331.706718048001</v>
      </c>
      <c r="H15" s="126">
        <v>33363.892658173012</v>
      </c>
      <c r="I15" s="127">
        <v>329741.86270586401</v>
      </c>
      <c r="J15" s="126">
        <v>52695.599376221013</v>
      </c>
      <c r="K15" s="127">
        <v>386901.43083999999</v>
      </c>
      <c r="L15" s="128"/>
    </row>
    <row r="16" spans="1:12">
      <c r="A16" s="123">
        <v>2021</v>
      </c>
      <c r="B16" s="69"/>
      <c r="C16" s="85">
        <v>227383.13351968699</v>
      </c>
      <c r="D16" s="85">
        <v>2127.3260687980001</v>
      </c>
      <c r="E16" s="85">
        <v>2193.652013123999</v>
      </c>
      <c r="F16" s="85">
        <v>100463.473892197</v>
      </c>
      <c r="G16" s="85">
        <v>19380.748845350001</v>
      </c>
      <c r="H16" s="84">
        <v>32859.610870843993</v>
      </c>
      <c r="I16" s="86">
        <v>327846.607411884</v>
      </c>
      <c r="J16" s="87">
        <v>52240.359716193998</v>
      </c>
      <c r="K16" s="83">
        <v>384407.94520999998</v>
      </c>
      <c r="L16" s="128"/>
    </row>
    <row r="17" spans="1:18">
      <c r="A17" s="131">
        <v>2022</v>
      </c>
      <c r="B17" s="88" t="s">
        <v>28</v>
      </c>
      <c r="C17" s="125">
        <v>221525.59348384201</v>
      </c>
      <c r="D17" s="125">
        <v>3294.3572218620002</v>
      </c>
      <c r="E17" s="125">
        <v>2293.3040087750001</v>
      </c>
      <c r="F17" s="125">
        <v>103706.506293924</v>
      </c>
      <c r="G17" s="125">
        <v>19890.209102691999</v>
      </c>
      <c r="H17" s="126">
        <v>13106.383798905001</v>
      </c>
      <c r="I17" s="127">
        <v>325232.09977776598</v>
      </c>
      <c r="J17" s="126">
        <v>32996.592901597003</v>
      </c>
      <c r="K17" s="127">
        <v>363816.35391000001</v>
      </c>
      <c r="L17" s="128"/>
    </row>
    <row r="18" spans="1:18">
      <c r="A18" s="131">
        <v>2021</v>
      </c>
      <c r="B18" s="88"/>
      <c r="C18" s="132">
        <v>203372.56221418199</v>
      </c>
      <c r="D18" s="132">
        <v>2967.360672035999</v>
      </c>
      <c r="E18" s="132">
        <v>2013.3516306240001</v>
      </c>
      <c r="F18" s="132">
        <v>97512.739254556</v>
      </c>
      <c r="G18" s="132">
        <v>17895.149021812002</v>
      </c>
      <c r="H18" s="133">
        <v>12421.26691679</v>
      </c>
      <c r="I18" s="89">
        <v>300885.30146873801</v>
      </c>
      <c r="J18" s="90">
        <v>30316.415938602</v>
      </c>
      <c r="K18" s="134">
        <v>336182.42971000011</v>
      </c>
      <c r="L18" s="128"/>
    </row>
    <row r="19" spans="1:18">
      <c r="A19" s="135">
        <v>2022</v>
      </c>
      <c r="B19" s="91" t="s">
        <v>29</v>
      </c>
      <c r="C19" s="136">
        <v>600159.50256066385</v>
      </c>
      <c r="D19" s="136">
        <v>6691.3126583889989</v>
      </c>
      <c r="E19" s="136">
        <v>6125.0920573519998</v>
      </c>
      <c r="F19" s="136">
        <v>253714.21577763301</v>
      </c>
      <c r="G19" s="136">
        <v>50898.574025469992</v>
      </c>
      <c r="H19" s="137">
        <v>108122.06089049199</v>
      </c>
      <c r="I19" s="92">
        <v>853873.71833829698</v>
      </c>
      <c r="J19" s="93">
        <v>159020.634915962</v>
      </c>
      <c r="K19" s="138">
        <v>1025710.75797</v>
      </c>
      <c r="L19" s="128"/>
    </row>
    <row r="20" spans="1:18">
      <c r="A20" s="131">
        <v>2021</v>
      </c>
      <c r="B20" s="94"/>
      <c r="C20" s="132">
        <v>571338.44738349796</v>
      </c>
      <c r="D20" s="132">
        <v>6176.264296632</v>
      </c>
      <c r="E20" s="132">
        <v>5746.4887806589986</v>
      </c>
      <c r="F20" s="132">
        <v>248499.50973159701</v>
      </c>
      <c r="G20" s="132">
        <v>48664.540340254003</v>
      </c>
      <c r="H20" s="139">
        <v>103855.80578736</v>
      </c>
      <c r="I20" s="95">
        <v>819837.95711509499</v>
      </c>
      <c r="J20" s="90">
        <v>152520.34612761391</v>
      </c>
      <c r="K20" s="140">
        <v>984281.05631999997</v>
      </c>
      <c r="L20" s="128"/>
    </row>
    <row r="21" spans="1:18">
      <c r="A21" s="135">
        <v>2022</v>
      </c>
      <c r="B21" s="73" t="s">
        <v>30</v>
      </c>
      <c r="C21" s="141">
        <v>378935.44076046097</v>
      </c>
      <c r="D21" s="129">
        <v>2841.6184310630001</v>
      </c>
      <c r="E21" s="129">
        <v>2623.6058065769998</v>
      </c>
      <c r="F21" s="129">
        <v>104685.75427382901</v>
      </c>
      <c r="G21" s="129">
        <v>20397.30994737101</v>
      </c>
      <c r="H21" s="142">
        <v>49710.248290699012</v>
      </c>
      <c r="I21" s="96">
        <v>483621.19503429002</v>
      </c>
      <c r="J21" s="87">
        <v>70107.558238070022</v>
      </c>
      <c r="K21" s="97">
        <v>559193.97751</v>
      </c>
      <c r="L21" s="128"/>
    </row>
    <row r="22" spans="1:18">
      <c r="A22" s="131">
        <v>2021</v>
      </c>
      <c r="B22" s="94"/>
      <c r="C22" s="141">
        <v>363954.1542768231</v>
      </c>
      <c r="D22" s="129">
        <v>1969.9253721170001</v>
      </c>
      <c r="E22" s="129">
        <v>2274.918734469999</v>
      </c>
      <c r="F22" s="129">
        <v>104795.26772352</v>
      </c>
      <c r="G22" s="129">
        <v>21428.180444048001</v>
      </c>
      <c r="H22" s="142">
        <v>52051.459549022002</v>
      </c>
      <c r="I22" s="96">
        <v>468749.4220003431</v>
      </c>
      <c r="J22" s="87">
        <v>73479.639993069999</v>
      </c>
      <c r="K22" s="97">
        <v>546473.90610000014</v>
      </c>
      <c r="L22" s="128"/>
    </row>
    <row r="23" spans="1:18">
      <c r="A23" s="131">
        <v>2022</v>
      </c>
      <c r="B23" s="94" t="s">
        <v>31</v>
      </c>
      <c r="C23" s="141">
        <v>1158710.432502476</v>
      </c>
      <c r="D23" s="129">
        <v>14231.931422976</v>
      </c>
      <c r="E23" s="129">
        <v>9741.4665788159982</v>
      </c>
      <c r="F23" s="129">
        <v>326458.59759133199</v>
      </c>
      <c r="G23" s="129">
        <v>64927.902892982987</v>
      </c>
      <c r="H23" s="142">
        <v>37216.330201415993</v>
      </c>
      <c r="I23" s="96">
        <v>1485169.0300938089</v>
      </c>
      <c r="J23" s="87">
        <v>102144.23309439899</v>
      </c>
      <c r="K23" s="97">
        <v>1611286.661189999</v>
      </c>
      <c r="L23" s="128"/>
    </row>
    <row r="24" spans="1:18">
      <c r="A24" s="143">
        <v>2021</v>
      </c>
      <c r="B24" s="98"/>
      <c r="C24" s="141">
        <v>1148604.952787481</v>
      </c>
      <c r="D24" s="129">
        <v>11495.671386783</v>
      </c>
      <c r="E24" s="129">
        <v>8723.0792585590007</v>
      </c>
      <c r="F24" s="129">
        <v>331806.48726015602</v>
      </c>
      <c r="G24" s="129">
        <v>61544.454117506</v>
      </c>
      <c r="H24" s="142">
        <v>39481.892009515002</v>
      </c>
      <c r="I24" s="96">
        <v>1480411.4400476371</v>
      </c>
      <c r="J24" s="87">
        <v>101026.346127021</v>
      </c>
      <c r="K24" s="97">
        <v>1601656.53682</v>
      </c>
      <c r="L24" s="128"/>
    </row>
    <row r="25" spans="1:18">
      <c r="A25" s="131">
        <v>2022</v>
      </c>
      <c r="B25" s="94" t="s">
        <v>32</v>
      </c>
      <c r="C25" s="136">
        <v>1537645.8732629381</v>
      </c>
      <c r="D25" s="144">
        <v>17073.549854039</v>
      </c>
      <c r="E25" s="136">
        <v>12365.072385392999</v>
      </c>
      <c r="F25" s="144">
        <v>431144.35186516098</v>
      </c>
      <c r="G25" s="136">
        <v>85325.212840354012</v>
      </c>
      <c r="H25" s="144">
        <v>86926.578492115004</v>
      </c>
      <c r="I25" s="92">
        <v>1968790.2251280991</v>
      </c>
      <c r="J25" s="93">
        <v>172251.791332469</v>
      </c>
      <c r="K25" s="99">
        <v>2170480.6387</v>
      </c>
      <c r="L25" s="128"/>
    </row>
    <row r="26" spans="1:18">
      <c r="A26" s="123">
        <v>2021</v>
      </c>
      <c r="B26" s="69"/>
      <c r="C26" s="132">
        <v>1512559.1070643039</v>
      </c>
      <c r="D26" s="145">
        <v>13465.596758899999</v>
      </c>
      <c r="E26" s="132">
        <v>10997.997993028999</v>
      </c>
      <c r="F26" s="145">
        <v>436601.75498367602</v>
      </c>
      <c r="G26" s="132">
        <v>82972.63456155399</v>
      </c>
      <c r="H26" s="145">
        <v>91533.35155853699</v>
      </c>
      <c r="I26" s="95">
        <v>1949160.8620479801</v>
      </c>
      <c r="J26" s="90">
        <v>174505.98612009099</v>
      </c>
      <c r="K26" s="100">
        <v>2148130.4429199998</v>
      </c>
      <c r="L26" s="128"/>
    </row>
    <row r="27" spans="1:18">
      <c r="A27" s="146">
        <v>2022</v>
      </c>
      <c r="B27" s="101" t="s">
        <v>33</v>
      </c>
      <c r="C27" s="129">
        <v>2137805.3758236011</v>
      </c>
      <c r="D27" s="147">
        <v>23764.862512428001</v>
      </c>
      <c r="E27" s="129">
        <v>18490.164442745001</v>
      </c>
      <c r="F27" s="147">
        <v>684858.56764279387</v>
      </c>
      <c r="G27" s="129">
        <v>136223.78686582399</v>
      </c>
      <c r="H27" s="147">
        <v>195048.63938260701</v>
      </c>
      <c r="I27" s="96">
        <v>2822663.9434663951</v>
      </c>
      <c r="J27" s="87">
        <v>331272.42624843097</v>
      </c>
      <c r="K27" s="97">
        <v>3196191.3966699992</v>
      </c>
      <c r="L27" s="128"/>
    </row>
    <row r="28" spans="1:18">
      <c r="A28" s="123">
        <v>2021</v>
      </c>
      <c r="B28" s="69"/>
      <c r="C28" s="132">
        <v>2083897.554447802</v>
      </c>
      <c r="D28" s="145">
        <v>19641.861055532001</v>
      </c>
      <c r="E28" s="132">
        <v>16744.486773688001</v>
      </c>
      <c r="F28" s="145">
        <v>685101.26471527293</v>
      </c>
      <c r="G28" s="132">
        <v>131637.174901808</v>
      </c>
      <c r="H28" s="145">
        <v>195389.15734589699</v>
      </c>
      <c r="I28" s="95">
        <v>2768998.8191630752</v>
      </c>
      <c r="J28" s="90">
        <v>327026.33224770502</v>
      </c>
      <c r="K28" s="100">
        <v>3132411.4992399998</v>
      </c>
      <c r="L28" s="128"/>
    </row>
    <row r="29" spans="1:18">
      <c r="A29" s="146">
        <v>2022</v>
      </c>
      <c r="B29" s="101" t="s">
        <v>34</v>
      </c>
      <c r="C29" s="129">
        <v>196467427</v>
      </c>
      <c r="D29" s="147">
        <v>9186256</v>
      </c>
      <c r="E29" s="129">
        <v>958055</v>
      </c>
      <c r="F29" s="147">
        <v>61273790</v>
      </c>
      <c r="G29" s="129">
        <v>11049522</v>
      </c>
      <c r="H29" s="147">
        <v>3239716</v>
      </c>
      <c r="I29" s="148">
        <v>257741217</v>
      </c>
      <c r="J29" s="149">
        <v>14289238</v>
      </c>
      <c r="K29" s="150">
        <v>282174766</v>
      </c>
      <c r="L29" s="128"/>
      <c r="R29" s="128"/>
    </row>
    <row r="30" spans="1:18">
      <c r="A30" s="123">
        <v>2021</v>
      </c>
      <c r="B30" s="151" t="s">
        <v>35</v>
      </c>
      <c r="C30" s="152">
        <v>196611629</v>
      </c>
      <c r="D30" s="147">
        <v>9424769</v>
      </c>
      <c r="E30" s="152">
        <v>943556</v>
      </c>
      <c r="F30" s="147">
        <v>60382963</v>
      </c>
      <c r="G30" s="152">
        <v>10687394</v>
      </c>
      <c r="H30" s="147">
        <v>3135181</v>
      </c>
      <c r="I30" s="148">
        <v>256994592</v>
      </c>
      <c r="J30" s="149">
        <v>13822575</v>
      </c>
      <c r="K30" s="150">
        <v>281185492</v>
      </c>
      <c r="L30" s="128"/>
    </row>
    <row r="31" spans="1:18">
      <c r="A31" s="153">
        <v>2022</v>
      </c>
      <c r="B31" s="69" t="s">
        <v>36</v>
      </c>
      <c r="C31" s="152">
        <v>10881.220406187749</v>
      </c>
      <c r="D31" s="147">
        <v>2587.001985621564</v>
      </c>
      <c r="E31" s="152">
        <v>19299.689937159139</v>
      </c>
      <c r="F31" s="147">
        <v>11177.023122656419</v>
      </c>
      <c r="G31" s="152">
        <v>12328.47781703353</v>
      </c>
      <c r="H31" s="147">
        <v>60205.474610307509</v>
      </c>
      <c r="I31" s="102">
        <v>10951.542699770809</v>
      </c>
      <c r="J31" s="84">
        <v>23183.35143192597</v>
      </c>
      <c r="K31" s="103">
        <v>11326.99228204551</v>
      </c>
      <c r="L31" s="128"/>
    </row>
    <row r="32" spans="1:18">
      <c r="A32" s="153">
        <v>2021</v>
      </c>
      <c r="B32" s="151" t="s">
        <v>37</v>
      </c>
      <c r="C32" s="152">
        <v>10599.05543251362</v>
      </c>
      <c r="D32" s="147">
        <v>2084.068167138314</v>
      </c>
      <c r="E32" s="152">
        <v>17746.150492061941</v>
      </c>
      <c r="F32" s="147">
        <v>11345.936513835421</v>
      </c>
      <c r="G32" s="152">
        <v>12317.050807877769</v>
      </c>
      <c r="H32" s="147">
        <v>62321.491915744897</v>
      </c>
      <c r="I32" s="102">
        <v>10774.541197983939</v>
      </c>
      <c r="J32" s="84">
        <v>23658.857502867952</v>
      </c>
      <c r="K32" s="103">
        <v>11140.01820278836</v>
      </c>
      <c r="L32" s="128"/>
    </row>
    <row r="33" spans="1:12">
      <c r="A33" s="153">
        <v>2022</v>
      </c>
      <c r="B33" s="69" t="s">
        <v>38</v>
      </c>
      <c r="C33" s="154">
        <v>3284668.705926788</v>
      </c>
      <c r="D33" s="154">
        <v>24369.327208820261</v>
      </c>
      <c r="E33" s="154">
        <v>391991.48618619388</v>
      </c>
      <c r="F33" s="154">
        <v>1007240.09337026</v>
      </c>
      <c r="G33" s="154">
        <v>136223.78686582399</v>
      </c>
      <c r="H33" s="155">
        <v>195048.63938260701</v>
      </c>
      <c r="I33" s="156">
        <v>4291908.7992970478</v>
      </c>
      <c r="J33" s="130">
        <v>331272.42624843097</v>
      </c>
      <c r="K33" s="150">
        <v>5039542.038940493</v>
      </c>
      <c r="L33" s="128"/>
    </row>
    <row r="34" spans="1:12">
      <c r="A34" s="153">
        <v>2021</v>
      </c>
      <c r="B34" s="151" t="s">
        <v>39</v>
      </c>
      <c r="C34" s="154">
        <v>3471196.0905209668</v>
      </c>
      <c r="D34" s="154">
        <v>23658.62164138829</v>
      </c>
      <c r="E34" s="154">
        <v>354983.1196021855</v>
      </c>
      <c r="F34" s="154">
        <v>1168120.1523734201</v>
      </c>
      <c r="G34" s="154">
        <v>131637.174901808</v>
      </c>
      <c r="H34" s="155">
        <v>195389.15734589699</v>
      </c>
      <c r="I34" s="156">
        <v>4639316.2428943869</v>
      </c>
      <c r="J34" s="130">
        <v>327026.33224770502</v>
      </c>
      <c r="K34" s="141">
        <v>5344984.316385665</v>
      </c>
      <c r="L34" s="128"/>
    </row>
    <row r="35" spans="1:12">
      <c r="A35" s="153">
        <v>2022</v>
      </c>
      <c r="B35" s="69" t="s">
        <v>40</v>
      </c>
      <c r="C35" s="104">
        <v>86040199.188188121</v>
      </c>
      <c r="D35" s="104">
        <v>540571.96648045897</v>
      </c>
      <c r="E35" s="104">
        <v>2497604.754683347</v>
      </c>
      <c r="F35" s="104">
        <v>37939062.886043392</v>
      </c>
      <c r="G35" s="104">
        <v>17180849.600989159</v>
      </c>
      <c r="H35" s="105">
        <v>28218174.603615459</v>
      </c>
      <c r="I35" s="86">
        <v>123979262.07423151</v>
      </c>
      <c r="J35" s="106">
        <v>45399024.204604633</v>
      </c>
      <c r="K35" s="97">
        <v>172416462.99999991</v>
      </c>
      <c r="L35" s="128"/>
    </row>
    <row r="36" spans="1:12">
      <c r="A36" s="153">
        <v>2021</v>
      </c>
      <c r="B36" s="151" t="s">
        <v>41</v>
      </c>
      <c r="C36" s="104">
        <v>85306944.286577567</v>
      </c>
      <c r="D36" s="104">
        <v>446802.42744955007</v>
      </c>
      <c r="E36" s="104">
        <v>2274324.5279645268</v>
      </c>
      <c r="F36" s="104">
        <v>38493966.181176692</v>
      </c>
      <c r="G36" s="104">
        <v>17169259.790239949</v>
      </c>
      <c r="H36" s="105">
        <v>30439396.786591701</v>
      </c>
      <c r="I36" s="86">
        <v>123800910.4677543</v>
      </c>
      <c r="J36" s="106">
        <v>47608656.576831654</v>
      </c>
      <c r="K36" s="97">
        <v>174130694</v>
      </c>
      <c r="L36" s="128"/>
    </row>
    <row r="37" spans="1:12">
      <c r="A37" s="153">
        <v>2022</v>
      </c>
      <c r="B37" s="69" t="s">
        <v>42</v>
      </c>
      <c r="C37" s="104">
        <v>437.93620399063968</v>
      </c>
      <c r="D37" s="104">
        <v>58.845732851387872</v>
      </c>
      <c r="E37" s="104">
        <v>2606.9534157050971</v>
      </c>
      <c r="F37" s="104">
        <v>619.1727798467075</v>
      </c>
      <c r="G37" s="104">
        <v>1554.895279722432</v>
      </c>
      <c r="H37" s="105">
        <v>8710.0766251163568</v>
      </c>
      <c r="I37" s="83">
        <v>481.02225758572212</v>
      </c>
      <c r="J37" s="84">
        <v>3177.1480189919589</v>
      </c>
      <c r="K37" s="103">
        <v>611.02722062680812</v>
      </c>
      <c r="L37" s="128"/>
    </row>
    <row r="38" spans="1:12">
      <c r="A38" s="153">
        <v>2021</v>
      </c>
      <c r="B38" s="151" t="s">
        <v>43</v>
      </c>
      <c r="C38" s="104">
        <v>433.88554746462921</v>
      </c>
      <c r="D38" s="104">
        <v>47.407255015963798</v>
      </c>
      <c r="E38" s="104">
        <v>2410.3757784005688</v>
      </c>
      <c r="F38" s="104">
        <v>637.49713940299171</v>
      </c>
      <c r="G38" s="104">
        <v>1606.496381647383</v>
      </c>
      <c r="H38" s="105">
        <v>9708.975904929157</v>
      </c>
      <c r="I38" s="83">
        <v>481.7257417920851</v>
      </c>
      <c r="J38" s="84">
        <v>3444.2682768465102</v>
      </c>
      <c r="K38" s="103">
        <v>619.27339409104366</v>
      </c>
      <c r="L38" s="128"/>
    </row>
    <row r="39" spans="1:12">
      <c r="A39" s="153">
        <v>2022</v>
      </c>
      <c r="B39" s="69" t="s">
        <v>44</v>
      </c>
      <c r="C39" s="157">
        <v>24.84658794370953</v>
      </c>
      <c r="D39" s="157">
        <v>43.962439760159249</v>
      </c>
      <c r="E39" s="157">
        <v>7.4031587296082124</v>
      </c>
      <c r="F39" s="157">
        <v>18.051541486406411</v>
      </c>
      <c r="G39" s="157">
        <v>7.9288155143376082</v>
      </c>
      <c r="H39" s="158">
        <v>6.9121636010295404</v>
      </c>
      <c r="I39" s="159">
        <v>22.767226520322001</v>
      </c>
      <c r="J39" s="160">
        <v>7.296906311365861</v>
      </c>
      <c r="K39" s="161">
        <v>18.537623038178211</v>
      </c>
      <c r="L39" s="128"/>
    </row>
    <row r="40" spans="1:12">
      <c r="A40" s="162">
        <v>2021</v>
      </c>
      <c r="B40" s="107" t="s">
        <v>45</v>
      </c>
      <c r="C40" s="163">
        <v>24.428228813907811</v>
      </c>
      <c r="D40" s="163">
        <v>43.960954213369462</v>
      </c>
      <c r="E40" s="163">
        <v>7.3623999424013427</v>
      </c>
      <c r="F40" s="163">
        <v>17.79762733439204</v>
      </c>
      <c r="G40" s="163">
        <v>7.6670267973135662</v>
      </c>
      <c r="H40" s="164">
        <v>6.4189562860182674</v>
      </c>
      <c r="I40" s="165">
        <v>22.366546487429108</v>
      </c>
      <c r="J40" s="166">
        <v>6.8690518859725529</v>
      </c>
      <c r="K40" s="167">
        <v>17.98885324169213</v>
      </c>
      <c r="L40" s="128"/>
    </row>
    <row r="41" spans="1:12" ht="3" customHeight="1">
      <c r="A41" s="168"/>
      <c r="B41" s="108"/>
      <c r="C41" s="169"/>
      <c r="D41" s="169"/>
      <c r="E41" s="169"/>
      <c r="F41" s="169"/>
      <c r="G41" s="169"/>
      <c r="H41" s="169"/>
      <c r="I41" s="169"/>
      <c r="J41" s="169"/>
      <c r="K41" s="170"/>
    </row>
    <row r="42" spans="1:12" ht="112.5" customHeight="1">
      <c r="A42" s="176" t="s">
        <v>121</v>
      </c>
      <c r="B42" s="177"/>
      <c r="C42" s="177"/>
      <c r="D42" s="177"/>
      <c r="E42" s="177"/>
      <c r="F42" s="177"/>
      <c r="G42" s="177"/>
      <c r="H42" s="177"/>
      <c r="I42" s="177"/>
      <c r="J42" s="177"/>
      <c r="K42" s="178"/>
    </row>
  </sheetData>
  <mergeCells count="4">
    <mergeCell ref="A2:K2"/>
    <mergeCell ref="A1:K1"/>
    <mergeCell ref="A42:K42"/>
    <mergeCell ref="I5:J5"/>
  </mergeCells>
  <printOptions horizontalCentered="1" verticalCentered="1"/>
  <pageMargins left="0.7" right="0.7" top="0.75" bottom="0.75" header="0.3" footer="0.3"/>
  <pageSetup scale="6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
  <sheetViews>
    <sheetView workbookViewId="0">
      <selection activeCell="B9" sqref="B9"/>
    </sheetView>
  </sheetViews>
  <sheetFormatPr defaultRowHeight="14.5"/>
  <sheetData>
    <row r="3" spans="1:1" ht="21" customHeight="1">
      <c r="A3" s="51" t="s">
        <v>46</v>
      </c>
    </row>
  </sheetData>
  <pageMargins left="0.7" right="0.7" top="0.75" bottom="0.75" header="0.3" footer="0.3"/>
  <pageSetup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20"/>
  <sheetViews>
    <sheetView topLeftCell="A100" workbookViewId="0">
      <selection sqref="A1:A3"/>
    </sheetView>
  </sheetViews>
  <sheetFormatPr defaultRowHeight="14.5"/>
  <cols>
    <col min="1" max="1" width="23.6328125" style="122" customWidth="1"/>
    <col min="2" max="2" width="13.36328125" style="122" customWidth="1"/>
    <col min="3" max="3" width="17.08984375" style="122" customWidth="1"/>
    <col min="4" max="4" width="14.6328125" style="122" customWidth="1"/>
    <col min="5" max="5" width="19.54296875" style="122" customWidth="1"/>
    <col min="6" max="6" width="17.08984375" style="122" customWidth="1"/>
    <col min="7" max="7" width="15.08984375" style="122" customWidth="1"/>
    <col min="8" max="8" width="13.08984375" style="122" customWidth="1"/>
    <col min="9" max="9" width="22.08984375" style="122" customWidth="1"/>
    <col min="11" max="11" width="9" style="122" customWidth="1"/>
    <col min="12" max="12" width="13" style="122" customWidth="1"/>
    <col min="14" max="14" width="18.36328125" style="122" customWidth="1"/>
    <col min="16" max="16" width="13.08984375" style="122" customWidth="1"/>
    <col min="17" max="17" width="13.54296875" style="122" customWidth="1"/>
    <col min="18" max="18" width="22.6328125" style="122" customWidth="1"/>
    <col min="21" max="21" width="13" style="122" customWidth="1"/>
    <col min="23" max="23" width="18.453125" style="122" customWidth="1"/>
    <col min="25" max="25" width="12.08984375" style="122" customWidth="1"/>
    <col min="26" max="26" width="12.36328125" style="122" customWidth="1"/>
    <col min="27" max="27" width="21.6328125" style="122" customWidth="1"/>
  </cols>
  <sheetData>
    <row r="1" spans="1:28" ht="27.65" customHeight="1">
      <c r="A1" s="46" t="s">
        <v>47</v>
      </c>
      <c r="B1" s="47"/>
      <c r="C1" s="47"/>
      <c r="D1" s="22"/>
      <c r="E1" s="22"/>
      <c r="F1" s="22"/>
      <c r="G1" s="22"/>
      <c r="H1" s="22"/>
      <c r="I1" s="22"/>
      <c r="J1" s="22"/>
      <c r="K1" s="22"/>
      <c r="L1" s="22"/>
      <c r="M1" s="22"/>
      <c r="N1" s="22"/>
      <c r="O1" s="22"/>
      <c r="P1" s="22"/>
      <c r="Q1" s="22"/>
      <c r="R1" s="22"/>
      <c r="S1" s="22"/>
      <c r="T1" s="22"/>
      <c r="U1" s="22"/>
      <c r="V1" s="22"/>
      <c r="W1" s="22"/>
      <c r="X1" s="22"/>
      <c r="Y1" s="22"/>
      <c r="Z1" s="22"/>
      <c r="AA1" s="22"/>
      <c r="AB1" s="22"/>
    </row>
    <row r="2" spans="1:28" ht="27.65" customHeight="1">
      <c r="A2" s="46" t="s">
        <v>48</v>
      </c>
      <c r="B2" s="47"/>
      <c r="C2" s="47"/>
      <c r="D2" s="22"/>
      <c r="E2" s="22"/>
      <c r="F2" s="22"/>
      <c r="G2" s="22"/>
      <c r="H2" s="22"/>
      <c r="I2" s="22"/>
      <c r="J2" s="22"/>
      <c r="K2" s="22"/>
      <c r="L2" s="22"/>
      <c r="M2" s="22"/>
      <c r="N2" s="22"/>
      <c r="O2" s="22"/>
      <c r="P2" s="22"/>
      <c r="Q2" s="22"/>
      <c r="R2" s="22"/>
      <c r="S2" s="22"/>
      <c r="T2" s="22"/>
      <c r="U2" s="22"/>
      <c r="V2" s="22"/>
      <c r="W2" s="22"/>
      <c r="X2" s="22"/>
      <c r="Y2" s="22"/>
      <c r="Z2" s="22"/>
      <c r="AA2" s="22"/>
      <c r="AB2" s="22"/>
    </row>
    <row r="3" spans="1:28" ht="24.65" customHeight="1">
      <c r="A3" s="48" t="s">
        <v>49</v>
      </c>
      <c r="B3" s="22"/>
      <c r="C3" s="22"/>
      <c r="D3" s="22"/>
      <c r="E3" s="22"/>
      <c r="F3" s="22"/>
      <c r="G3" s="22"/>
      <c r="H3" s="22"/>
      <c r="I3" s="22"/>
      <c r="J3" s="22"/>
      <c r="K3" s="22"/>
      <c r="L3" s="22"/>
      <c r="M3" s="22"/>
      <c r="N3" s="22"/>
      <c r="O3" s="22"/>
      <c r="P3" s="22"/>
      <c r="Q3" s="22"/>
      <c r="R3" s="22"/>
      <c r="S3" s="22"/>
      <c r="T3" s="22"/>
      <c r="U3" s="22"/>
      <c r="V3" s="22"/>
      <c r="W3" s="22"/>
      <c r="X3" s="22"/>
      <c r="Y3" s="22"/>
      <c r="Z3" s="22"/>
      <c r="AA3" s="22"/>
      <c r="AB3" s="22"/>
    </row>
    <row r="4" spans="1:28">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row>
    <row r="5" spans="1:28">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row>
    <row r="6" spans="1:28">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row>
    <row r="7" spans="1:28" ht="24.65" customHeight="1">
      <c r="A7" s="1"/>
      <c r="B7" s="21"/>
      <c r="C7" s="21"/>
      <c r="D7" s="21"/>
      <c r="E7" s="21"/>
      <c r="F7" s="21"/>
      <c r="G7" s="21"/>
      <c r="H7" s="21"/>
      <c r="I7" s="21"/>
      <c r="J7" s="21"/>
      <c r="K7" s="21"/>
      <c r="L7" s="21"/>
      <c r="M7" s="21"/>
      <c r="N7" s="21"/>
      <c r="O7" s="21"/>
      <c r="P7" s="21"/>
      <c r="Q7" s="21"/>
      <c r="R7" s="21"/>
      <c r="S7" s="21"/>
      <c r="T7" s="21"/>
      <c r="U7" s="21"/>
      <c r="V7" s="21"/>
      <c r="W7" s="21"/>
      <c r="X7" s="21"/>
      <c r="Y7" s="21"/>
      <c r="Z7" s="21"/>
      <c r="AA7" s="21"/>
      <c r="AB7" s="21"/>
    </row>
    <row r="8" spans="1:28" ht="19.25" customHeight="1">
      <c r="A8" s="2"/>
      <c r="B8" s="21"/>
      <c r="C8" s="21"/>
      <c r="D8" s="21"/>
      <c r="E8" s="21"/>
      <c r="F8" s="21"/>
      <c r="G8" s="21"/>
      <c r="H8" s="21"/>
      <c r="I8" s="21"/>
      <c r="J8" s="21"/>
      <c r="K8" s="21"/>
      <c r="L8" s="21"/>
      <c r="M8" s="21"/>
      <c r="N8" s="21"/>
      <c r="O8" s="21"/>
      <c r="P8" s="21"/>
      <c r="Q8" s="21"/>
      <c r="R8" s="21"/>
      <c r="S8" s="21"/>
      <c r="T8" s="21"/>
      <c r="U8" s="21"/>
      <c r="V8" s="21"/>
      <c r="W8" s="21"/>
      <c r="X8" s="21"/>
      <c r="Y8" s="21"/>
      <c r="Z8" s="21"/>
      <c r="AA8" s="21"/>
      <c r="AB8" s="21"/>
    </row>
    <row r="9" spans="1:28">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row>
    <row r="10" spans="1:28">
      <c r="A10" s="4"/>
      <c r="B10" s="4"/>
      <c r="C10" s="4"/>
      <c r="D10" s="4"/>
      <c r="E10" s="4"/>
      <c r="F10" s="4"/>
      <c r="G10" s="4"/>
      <c r="H10" s="4"/>
      <c r="I10" s="4"/>
      <c r="J10" s="4"/>
      <c r="K10" s="4"/>
      <c r="L10" s="4"/>
      <c r="M10" s="4"/>
      <c r="N10" s="4"/>
      <c r="O10" s="4"/>
      <c r="P10" s="4"/>
      <c r="Q10" s="4"/>
      <c r="R10" s="4"/>
      <c r="S10" s="4"/>
      <c r="T10" s="4"/>
      <c r="U10" s="4"/>
      <c r="V10" s="4"/>
      <c r="W10" s="4"/>
      <c r="X10" s="4"/>
      <c r="Y10" s="4"/>
      <c r="Z10" s="22"/>
      <c r="AA10" s="22"/>
      <c r="AB10" s="5"/>
    </row>
    <row r="11" spans="1:28">
      <c r="A11" s="13" t="s">
        <v>50</v>
      </c>
      <c r="B11" s="4"/>
      <c r="C11" s="4"/>
      <c r="D11" s="4"/>
      <c r="E11" s="4"/>
      <c r="F11" s="4"/>
      <c r="G11" s="4"/>
      <c r="H11" s="4"/>
      <c r="I11" s="4"/>
      <c r="J11" s="4"/>
      <c r="K11" s="4"/>
      <c r="L11" s="4"/>
      <c r="M11" s="4"/>
      <c r="N11" s="4"/>
      <c r="O11" s="4"/>
      <c r="P11" s="4"/>
      <c r="Q11" s="4"/>
      <c r="R11" s="4"/>
      <c r="S11" s="4"/>
      <c r="T11" s="4"/>
      <c r="U11" s="4"/>
      <c r="V11" s="4"/>
      <c r="W11" s="4"/>
      <c r="X11" s="4"/>
      <c r="Y11" s="3"/>
      <c r="Z11" s="22"/>
      <c r="AA11" s="22"/>
      <c r="AB11" s="5"/>
    </row>
    <row r="12" spans="1:28">
      <c r="A12" s="14"/>
      <c r="B12" s="6" t="s">
        <v>51</v>
      </c>
      <c r="C12" s="6"/>
      <c r="D12" s="6"/>
      <c r="E12" s="6"/>
      <c r="F12" s="6"/>
      <c r="G12" s="6"/>
      <c r="H12" s="6"/>
      <c r="I12" s="6"/>
      <c r="J12" s="7"/>
      <c r="K12" s="6" t="s">
        <v>52</v>
      </c>
      <c r="L12" s="6"/>
      <c r="M12" s="6"/>
      <c r="N12" s="6"/>
      <c r="O12" s="6"/>
      <c r="P12" s="6"/>
      <c r="Q12" s="6"/>
      <c r="R12" s="6"/>
      <c r="S12" s="7"/>
      <c r="T12" s="23" t="s">
        <v>53</v>
      </c>
      <c r="U12" s="6"/>
      <c r="V12" s="6"/>
      <c r="W12" s="6"/>
      <c r="X12" s="6"/>
      <c r="Y12" s="6"/>
      <c r="Z12" s="6"/>
      <c r="AA12" s="6"/>
      <c r="AB12" s="24"/>
    </row>
    <row r="13" spans="1:28">
      <c r="A13" s="115" t="s">
        <v>54</v>
      </c>
      <c r="B13" s="14" t="s">
        <v>14</v>
      </c>
      <c r="C13" s="14" t="s">
        <v>55</v>
      </c>
      <c r="D13" s="14" t="s">
        <v>56</v>
      </c>
      <c r="E13" s="38" t="s">
        <v>57</v>
      </c>
      <c r="F13" s="14"/>
      <c r="G13" s="14" t="s">
        <v>5</v>
      </c>
      <c r="H13" s="14" t="s">
        <v>16</v>
      </c>
      <c r="I13" s="30" t="s">
        <v>58</v>
      </c>
      <c r="J13" s="39"/>
      <c r="K13" s="25" t="s">
        <v>14</v>
      </c>
      <c r="L13" s="14" t="s">
        <v>55</v>
      </c>
      <c r="M13" s="14" t="s">
        <v>56</v>
      </c>
      <c r="N13" s="38" t="s">
        <v>59</v>
      </c>
      <c r="O13" s="14"/>
      <c r="P13" s="14" t="s">
        <v>5</v>
      </c>
      <c r="Q13" s="14" t="s">
        <v>16</v>
      </c>
      <c r="R13" s="30" t="s">
        <v>58</v>
      </c>
      <c r="S13" s="41"/>
      <c r="T13" s="25" t="s">
        <v>14</v>
      </c>
      <c r="U13" s="14" t="s">
        <v>55</v>
      </c>
      <c r="V13" s="14" t="s">
        <v>56</v>
      </c>
      <c r="W13" s="38" t="s">
        <v>59</v>
      </c>
      <c r="X13" s="14"/>
      <c r="Y13" s="14" t="s">
        <v>5</v>
      </c>
      <c r="Z13" s="14" t="s">
        <v>16</v>
      </c>
      <c r="AA13" s="28" t="s">
        <v>58</v>
      </c>
      <c r="AB13" s="9"/>
    </row>
    <row r="14" spans="1:28">
      <c r="A14" s="15"/>
      <c r="B14" s="10" t="s">
        <v>19</v>
      </c>
      <c r="C14" s="10" t="s">
        <v>60</v>
      </c>
      <c r="D14" s="10" t="s">
        <v>22</v>
      </c>
      <c r="E14" s="29" t="s">
        <v>61</v>
      </c>
      <c r="F14" s="10" t="s">
        <v>15</v>
      </c>
      <c r="G14" s="10" t="s">
        <v>22</v>
      </c>
      <c r="H14" s="10" t="s">
        <v>22</v>
      </c>
      <c r="I14" s="31" t="s">
        <v>62</v>
      </c>
      <c r="J14" s="40" t="s">
        <v>63</v>
      </c>
      <c r="K14" s="10" t="s">
        <v>19</v>
      </c>
      <c r="L14" s="10" t="s">
        <v>60</v>
      </c>
      <c r="M14" s="10" t="s">
        <v>22</v>
      </c>
      <c r="N14" s="29" t="s">
        <v>64</v>
      </c>
      <c r="O14" s="10" t="s">
        <v>15</v>
      </c>
      <c r="P14" s="10" t="s">
        <v>22</v>
      </c>
      <c r="Q14" s="10" t="s">
        <v>22</v>
      </c>
      <c r="R14" s="31" t="s">
        <v>62</v>
      </c>
      <c r="S14" s="42" t="s">
        <v>63</v>
      </c>
      <c r="T14" s="10" t="s">
        <v>19</v>
      </c>
      <c r="U14" s="10" t="s">
        <v>60</v>
      </c>
      <c r="V14" s="10" t="s">
        <v>22</v>
      </c>
      <c r="W14" s="29" t="s">
        <v>64</v>
      </c>
      <c r="X14" s="10" t="s">
        <v>15</v>
      </c>
      <c r="Y14" s="10" t="s">
        <v>22</v>
      </c>
      <c r="Z14" s="10" t="s">
        <v>22</v>
      </c>
      <c r="AA14" s="29" t="s">
        <v>62</v>
      </c>
      <c r="AB14" s="45" t="s">
        <v>63</v>
      </c>
    </row>
    <row r="15" spans="1:28" hidden="1">
      <c r="A15" s="116" t="s">
        <v>65</v>
      </c>
      <c r="B15" s="117" t="e">
        <f>#REF!*#REF!</f>
        <v>#REF!</v>
      </c>
      <c r="C15" s="117" t="e">
        <f>#REF!*#REF!</f>
        <v>#REF!</v>
      </c>
      <c r="D15" s="117" t="e">
        <f>#REF!*#REF!</f>
        <v>#REF!</v>
      </c>
      <c r="E15" s="117" t="e">
        <f>#REF!*#REF!</f>
        <v>#REF!</v>
      </c>
      <c r="F15" s="117" t="e">
        <f>#REF!*#REF!</f>
        <v>#REF!</v>
      </c>
      <c r="G15" s="117" t="e">
        <f>#REF!*#REF!</f>
        <v>#REF!</v>
      </c>
      <c r="H15" s="117" t="e">
        <f>#REF!*#REF!</f>
        <v>#REF!</v>
      </c>
      <c r="I15" s="118"/>
      <c r="J15" s="34"/>
      <c r="K15" s="16"/>
      <c r="L15" s="16"/>
      <c r="M15" s="16"/>
      <c r="N15" s="32"/>
      <c r="O15" s="16"/>
      <c r="P15" s="16"/>
      <c r="Q15" s="16"/>
      <c r="R15" s="33"/>
      <c r="S15" s="43"/>
      <c r="T15" s="16"/>
      <c r="U15" s="16"/>
      <c r="V15" s="16"/>
      <c r="W15" s="32"/>
      <c r="X15" s="16"/>
      <c r="Y15" s="16"/>
      <c r="Z15" s="16"/>
      <c r="AA15" s="32"/>
      <c r="AB15" s="36"/>
    </row>
    <row r="16" spans="1:28" hidden="1">
      <c r="A16" s="116" t="s">
        <v>66</v>
      </c>
      <c r="B16" s="117" t="e">
        <f>#REF!*#REF!</f>
        <v>#REF!</v>
      </c>
      <c r="C16" s="117" t="e">
        <f>#REF!*#REF!</f>
        <v>#REF!</v>
      </c>
      <c r="D16" s="117" t="e">
        <f>#REF!*#REF!</f>
        <v>#REF!</v>
      </c>
      <c r="E16" s="117" t="e">
        <f>#REF!*#REF!</f>
        <v>#REF!</v>
      </c>
      <c r="F16" s="117" t="e">
        <f>#REF!*#REF!</f>
        <v>#REF!</v>
      </c>
      <c r="G16" s="117" t="e">
        <f>#REF!*#REF!</f>
        <v>#REF!</v>
      </c>
      <c r="H16" s="117" t="e">
        <f>#REF!*#REF!</f>
        <v>#REF!</v>
      </c>
      <c r="I16" s="118"/>
      <c r="J16" s="119"/>
      <c r="K16" s="16"/>
      <c r="L16" s="16"/>
      <c r="M16" s="16"/>
      <c r="N16" s="32"/>
      <c r="O16" s="16"/>
      <c r="P16" s="16"/>
      <c r="Q16" s="16"/>
      <c r="R16" s="33"/>
      <c r="S16" s="120"/>
      <c r="T16" s="16"/>
      <c r="U16" s="16"/>
      <c r="V16" s="16"/>
      <c r="W16" s="32"/>
      <c r="X16" s="16"/>
      <c r="Y16" s="16"/>
      <c r="Z16" s="16"/>
      <c r="AA16" s="32"/>
      <c r="AB16" s="36"/>
    </row>
    <row r="17" spans="1:28" hidden="1">
      <c r="A17" s="116" t="s">
        <v>67</v>
      </c>
      <c r="B17" s="117" t="e">
        <f>#REF!*#REF!</f>
        <v>#REF!</v>
      </c>
      <c r="C17" s="117" t="e">
        <f>#REF!*#REF!</f>
        <v>#REF!</v>
      </c>
      <c r="D17" s="117" t="e">
        <f>#REF!*#REF!</f>
        <v>#REF!</v>
      </c>
      <c r="E17" s="117" t="e">
        <f>#REF!*#REF!</f>
        <v>#REF!</v>
      </c>
      <c r="F17" s="117" t="e">
        <f>#REF!*#REF!</f>
        <v>#REF!</v>
      </c>
      <c r="G17" s="117" t="e">
        <f>#REF!*#REF!</f>
        <v>#REF!</v>
      </c>
      <c r="H17" s="117" t="e">
        <f>#REF!*#REF!</f>
        <v>#REF!</v>
      </c>
      <c r="I17" s="118"/>
      <c r="J17" s="119"/>
      <c r="K17" s="16"/>
      <c r="L17" s="16"/>
      <c r="M17" s="16"/>
      <c r="N17" s="32"/>
      <c r="O17" s="16"/>
      <c r="P17" s="16"/>
      <c r="Q17" s="16"/>
      <c r="R17" s="33"/>
      <c r="S17" s="120"/>
      <c r="T17" s="16"/>
      <c r="U17" s="16"/>
      <c r="V17" s="16"/>
      <c r="W17" s="32"/>
      <c r="X17" s="16"/>
      <c r="Y17" s="16"/>
      <c r="Z17" s="16"/>
      <c r="AA17" s="32"/>
      <c r="AB17" s="36"/>
    </row>
    <row r="18" spans="1:28" hidden="1">
      <c r="A18" s="17" t="s">
        <v>68</v>
      </c>
      <c r="B18" s="117" t="e">
        <f>#REF!*#REF!</f>
        <v>#REF!</v>
      </c>
      <c r="C18" s="117" t="e">
        <f>#REF!*#REF!</f>
        <v>#REF!</v>
      </c>
      <c r="D18" s="117" t="e">
        <f>#REF!*#REF!</f>
        <v>#REF!</v>
      </c>
      <c r="E18" s="117" t="e">
        <f>#REF!*#REF!</f>
        <v>#REF!</v>
      </c>
      <c r="F18" s="117" t="e">
        <f>#REF!*#REF!</f>
        <v>#REF!</v>
      </c>
      <c r="G18" s="117" t="e">
        <f>#REF!*#REF!</f>
        <v>#REF!</v>
      </c>
      <c r="H18" s="117" t="e">
        <f>#REF!*#REF!</f>
        <v>#REF!</v>
      </c>
      <c r="I18" s="118"/>
      <c r="J18" s="35"/>
      <c r="K18" s="18"/>
      <c r="L18" s="18"/>
      <c r="M18" s="18"/>
      <c r="N18" s="32"/>
      <c r="O18" s="18"/>
      <c r="P18" s="18"/>
      <c r="Q18" s="18"/>
      <c r="R18" s="33"/>
      <c r="S18" s="44"/>
      <c r="T18" s="18"/>
      <c r="U18" s="18"/>
      <c r="V18" s="18"/>
      <c r="W18" s="32"/>
      <c r="X18" s="18"/>
      <c r="Y18" s="18"/>
      <c r="Z18" s="18"/>
      <c r="AA18" s="32"/>
      <c r="AB18" s="37"/>
    </row>
    <row r="19" spans="1:28" hidden="1">
      <c r="A19" s="116" t="s">
        <v>69</v>
      </c>
      <c r="B19" s="117" t="e">
        <f>#REF!*#REF!</f>
        <v>#REF!</v>
      </c>
      <c r="C19" s="117" t="e">
        <f>#REF!*#REF!</f>
        <v>#REF!</v>
      </c>
      <c r="D19" s="117" t="e">
        <f>#REF!*#REF!</f>
        <v>#REF!</v>
      </c>
      <c r="E19" s="117" t="e">
        <f>#REF!*#REF!</f>
        <v>#REF!</v>
      </c>
      <c r="F19" s="117" t="e">
        <f>#REF!*#REF!</f>
        <v>#REF!</v>
      </c>
      <c r="G19" s="117" t="e">
        <f>#REF!*#REF!</f>
        <v>#REF!</v>
      </c>
      <c r="H19" s="117" t="e">
        <f>#REF!*#REF!</f>
        <v>#REF!</v>
      </c>
      <c r="I19" s="118"/>
      <c r="J19" s="119"/>
      <c r="K19" s="16"/>
      <c r="L19" s="16"/>
      <c r="M19" s="16"/>
      <c r="N19" s="32"/>
      <c r="O19" s="16"/>
      <c r="P19" s="16"/>
      <c r="Q19" s="16"/>
      <c r="R19" s="33"/>
      <c r="S19" s="120"/>
      <c r="T19" s="16"/>
      <c r="U19" s="16"/>
      <c r="V19" s="16"/>
      <c r="W19" s="32"/>
      <c r="X19" s="16"/>
      <c r="Y19" s="16"/>
      <c r="Z19" s="16"/>
      <c r="AA19" s="32"/>
      <c r="AB19" s="36"/>
    </row>
    <row r="20" spans="1:28" hidden="1">
      <c r="A20" s="116" t="s">
        <v>70</v>
      </c>
      <c r="B20" s="117" t="e">
        <f>#REF!*#REF!</f>
        <v>#REF!</v>
      </c>
      <c r="C20" s="117" t="e">
        <f>#REF!*#REF!</f>
        <v>#REF!</v>
      </c>
      <c r="D20" s="117" t="e">
        <f>#REF!*#REF!</f>
        <v>#REF!</v>
      </c>
      <c r="E20" s="117" t="e">
        <f>#REF!*#REF!</f>
        <v>#REF!</v>
      </c>
      <c r="F20" s="117" t="e">
        <f>#REF!*#REF!</f>
        <v>#REF!</v>
      </c>
      <c r="G20" s="117" t="e">
        <f>#REF!*#REF!</f>
        <v>#REF!</v>
      </c>
      <c r="H20" s="117" t="e">
        <f>#REF!*#REF!</f>
        <v>#REF!</v>
      </c>
      <c r="I20" s="118"/>
      <c r="J20" s="119"/>
      <c r="K20" s="16"/>
      <c r="L20" s="16"/>
      <c r="M20" s="16"/>
      <c r="N20" s="32"/>
      <c r="O20" s="16"/>
      <c r="P20" s="16"/>
      <c r="Q20" s="16"/>
      <c r="R20" s="33"/>
      <c r="S20" s="120"/>
      <c r="T20" s="16"/>
      <c r="U20" s="16"/>
      <c r="V20" s="16"/>
      <c r="W20" s="32"/>
      <c r="X20" s="16"/>
      <c r="Y20" s="16"/>
      <c r="Z20" s="16"/>
      <c r="AA20" s="32"/>
      <c r="AB20" s="36"/>
    </row>
    <row r="21" spans="1:28" hidden="1">
      <c r="A21" s="116" t="s">
        <v>71</v>
      </c>
      <c r="B21" s="117" t="e">
        <f>#REF!*#REF!</f>
        <v>#REF!</v>
      </c>
      <c r="C21" s="117" t="e">
        <f>#REF!*#REF!</f>
        <v>#REF!</v>
      </c>
      <c r="D21" s="117" t="e">
        <f>#REF!*#REF!</f>
        <v>#REF!</v>
      </c>
      <c r="E21" s="117" t="e">
        <f>#REF!*#REF!</f>
        <v>#REF!</v>
      </c>
      <c r="F21" s="117" t="e">
        <f>#REF!*#REF!</f>
        <v>#REF!</v>
      </c>
      <c r="G21" s="117" t="e">
        <f>#REF!*#REF!</f>
        <v>#REF!</v>
      </c>
      <c r="H21" s="117" t="e">
        <f>#REF!*#REF!</f>
        <v>#REF!</v>
      </c>
      <c r="I21" s="118"/>
      <c r="J21" s="119"/>
      <c r="K21" s="16"/>
      <c r="L21" s="16"/>
      <c r="M21" s="16"/>
      <c r="N21" s="32"/>
      <c r="O21" s="16"/>
      <c r="P21" s="16"/>
      <c r="Q21" s="16"/>
      <c r="R21" s="33"/>
      <c r="S21" s="120"/>
      <c r="T21" s="16"/>
      <c r="U21" s="16"/>
      <c r="V21" s="16"/>
      <c r="W21" s="32"/>
      <c r="X21" s="16"/>
      <c r="Y21" s="16"/>
      <c r="Z21" s="16"/>
      <c r="AA21" s="32"/>
      <c r="AB21" s="36"/>
    </row>
    <row r="22" spans="1:28" hidden="1">
      <c r="A22" s="17" t="s">
        <v>72</v>
      </c>
      <c r="B22" s="117" t="e">
        <f>#REF!*#REF!</f>
        <v>#REF!</v>
      </c>
      <c r="C22" s="117" t="e">
        <f>#REF!*#REF!</f>
        <v>#REF!</v>
      </c>
      <c r="D22" s="117" t="e">
        <f>#REF!*#REF!</f>
        <v>#REF!</v>
      </c>
      <c r="E22" s="117" t="e">
        <f>#REF!*#REF!</f>
        <v>#REF!</v>
      </c>
      <c r="F22" s="117" t="e">
        <f>#REF!*#REF!</f>
        <v>#REF!</v>
      </c>
      <c r="G22" s="117" t="e">
        <f>#REF!*#REF!</f>
        <v>#REF!</v>
      </c>
      <c r="H22" s="117" t="e">
        <f>#REF!*#REF!</f>
        <v>#REF!</v>
      </c>
      <c r="I22" s="118"/>
      <c r="J22" s="35"/>
      <c r="K22" s="18"/>
      <c r="L22" s="18"/>
      <c r="M22" s="18"/>
      <c r="N22" s="32"/>
      <c r="O22" s="18"/>
      <c r="P22" s="18"/>
      <c r="Q22" s="18"/>
      <c r="R22" s="33"/>
      <c r="S22" s="44"/>
      <c r="T22" s="18"/>
      <c r="U22" s="18"/>
      <c r="V22" s="18"/>
      <c r="W22" s="32"/>
      <c r="X22" s="18"/>
      <c r="Y22" s="18"/>
      <c r="Z22" s="18"/>
      <c r="AA22" s="32"/>
      <c r="AB22" s="37"/>
    </row>
    <row r="23" spans="1:28" hidden="1">
      <c r="A23" s="116" t="s">
        <v>73</v>
      </c>
      <c r="B23" s="117" t="e">
        <f>#REF!*#REF!</f>
        <v>#REF!</v>
      </c>
      <c r="C23" s="117" t="e">
        <f>#REF!*#REF!</f>
        <v>#REF!</v>
      </c>
      <c r="D23" s="117" t="e">
        <f>#REF!*#REF!</f>
        <v>#REF!</v>
      </c>
      <c r="E23" s="117" t="e">
        <f>#REF!*#REF!</f>
        <v>#REF!</v>
      </c>
      <c r="F23" s="117" t="e">
        <f>#REF!*#REF!</f>
        <v>#REF!</v>
      </c>
      <c r="G23" s="117" t="e">
        <f>#REF!*#REF!</f>
        <v>#REF!</v>
      </c>
      <c r="H23" s="117" t="e">
        <f>#REF!*#REF!</f>
        <v>#REF!</v>
      </c>
      <c r="I23" s="118"/>
      <c r="J23" s="119"/>
      <c r="K23" s="16"/>
      <c r="L23" s="16"/>
      <c r="M23" s="16"/>
      <c r="N23" s="32"/>
      <c r="O23" s="16"/>
      <c r="P23" s="16"/>
      <c r="Q23" s="16"/>
      <c r="R23" s="33"/>
      <c r="S23" s="120"/>
      <c r="T23" s="16"/>
      <c r="U23" s="16"/>
      <c r="V23" s="16"/>
      <c r="W23" s="32"/>
      <c r="X23" s="16"/>
      <c r="Y23" s="16"/>
      <c r="Z23" s="16"/>
      <c r="AA23" s="32"/>
      <c r="AB23" s="36"/>
    </row>
    <row r="24" spans="1:28" hidden="1">
      <c r="A24" s="116" t="s">
        <v>74</v>
      </c>
      <c r="B24" s="117" t="e">
        <f>#REF!*#REF!</f>
        <v>#REF!</v>
      </c>
      <c r="C24" s="117" t="e">
        <f>#REF!*#REF!</f>
        <v>#REF!</v>
      </c>
      <c r="D24" s="117" t="e">
        <f>#REF!*#REF!</f>
        <v>#REF!</v>
      </c>
      <c r="E24" s="117" t="e">
        <f>#REF!*#REF!</f>
        <v>#REF!</v>
      </c>
      <c r="F24" s="117" t="e">
        <f>#REF!*#REF!</f>
        <v>#REF!</v>
      </c>
      <c r="G24" s="117" t="e">
        <f>#REF!*#REF!</f>
        <v>#REF!</v>
      </c>
      <c r="H24" s="117" t="e">
        <f>#REF!*#REF!</f>
        <v>#REF!</v>
      </c>
      <c r="I24" s="118"/>
      <c r="J24" s="119"/>
      <c r="K24" s="16"/>
      <c r="L24" s="16"/>
      <c r="M24" s="16"/>
      <c r="N24" s="32"/>
      <c r="O24" s="16"/>
      <c r="P24" s="16"/>
      <c r="Q24" s="16"/>
      <c r="R24" s="33"/>
      <c r="S24" s="120"/>
      <c r="T24" s="16"/>
      <c r="U24" s="16"/>
      <c r="V24" s="16"/>
      <c r="W24" s="32"/>
      <c r="X24" s="16"/>
      <c r="Y24" s="16"/>
      <c r="Z24" s="16"/>
      <c r="AA24" s="32"/>
      <c r="AB24" s="36"/>
    </row>
    <row r="25" spans="1:28" hidden="1">
      <c r="A25" s="116" t="s">
        <v>75</v>
      </c>
      <c r="B25" s="117" t="e">
        <f>#REF!*#REF!</f>
        <v>#REF!</v>
      </c>
      <c r="C25" s="117" t="e">
        <f>#REF!*#REF!</f>
        <v>#REF!</v>
      </c>
      <c r="D25" s="117" t="e">
        <f>#REF!*#REF!</f>
        <v>#REF!</v>
      </c>
      <c r="E25" s="117" t="e">
        <f>#REF!*#REF!</f>
        <v>#REF!</v>
      </c>
      <c r="F25" s="117" t="e">
        <f>#REF!*#REF!</f>
        <v>#REF!</v>
      </c>
      <c r="G25" s="117" t="e">
        <f>#REF!*#REF!</f>
        <v>#REF!</v>
      </c>
      <c r="H25" s="117" t="e">
        <f>#REF!*#REF!</f>
        <v>#REF!</v>
      </c>
      <c r="I25" s="118"/>
      <c r="J25" s="119"/>
      <c r="K25" s="16"/>
      <c r="L25" s="16"/>
      <c r="M25" s="16"/>
      <c r="N25" s="32"/>
      <c r="O25" s="16"/>
      <c r="P25" s="16"/>
      <c r="Q25" s="16"/>
      <c r="R25" s="33"/>
      <c r="S25" s="120"/>
      <c r="T25" s="16"/>
      <c r="U25" s="16"/>
      <c r="V25" s="16"/>
      <c r="W25" s="32"/>
      <c r="X25" s="16"/>
      <c r="Y25" s="16"/>
      <c r="Z25" s="16"/>
      <c r="AA25" s="32"/>
      <c r="AB25" s="36"/>
    </row>
    <row r="26" spans="1:28" hidden="1">
      <c r="A26" s="17" t="s">
        <v>76</v>
      </c>
      <c r="B26" s="117" t="e">
        <f>#REF!*#REF!</f>
        <v>#REF!</v>
      </c>
      <c r="C26" s="117" t="e">
        <f>#REF!*#REF!</f>
        <v>#REF!</v>
      </c>
      <c r="D26" s="117" t="e">
        <f>#REF!*#REF!</f>
        <v>#REF!</v>
      </c>
      <c r="E26" s="117" t="e">
        <f>#REF!*#REF!</f>
        <v>#REF!</v>
      </c>
      <c r="F26" s="117" t="e">
        <f>#REF!*#REF!</f>
        <v>#REF!</v>
      </c>
      <c r="G26" s="117" t="e">
        <f>#REF!*#REF!</f>
        <v>#REF!</v>
      </c>
      <c r="H26" s="117" t="e">
        <f>#REF!*#REF!</f>
        <v>#REF!</v>
      </c>
      <c r="I26" s="118"/>
      <c r="J26" s="35"/>
      <c r="K26" s="18"/>
      <c r="L26" s="18"/>
      <c r="M26" s="18"/>
      <c r="N26" s="32"/>
      <c r="O26" s="18"/>
      <c r="P26" s="18"/>
      <c r="Q26" s="18"/>
      <c r="R26" s="33"/>
      <c r="S26" s="44"/>
      <c r="T26" s="18"/>
      <c r="U26" s="18"/>
      <c r="V26" s="18"/>
      <c r="W26" s="32"/>
      <c r="X26" s="18"/>
      <c r="Y26" s="18"/>
      <c r="Z26" s="18"/>
      <c r="AA26" s="32"/>
      <c r="AB26" s="37"/>
    </row>
    <row r="27" spans="1:28" hidden="1">
      <c r="A27" s="116" t="s">
        <v>77</v>
      </c>
      <c r="B27" s="117" t="e">
        <f>#REF!*#REF!</f>
        <v>#REF!</v>
      </c>
      <c r="C27" s="117" t="e">
        <f>#REF!*#REF!</f>
        <v>#REF!</v>
      </c>
      <c r="D27" s="117" t="e">
        <f>#REF!*#REF!</f>
        <v>#REF!</v>
      </c>
      <c r="E27" s="117" t="e">
        <f>#REF!*#REF!</f>
        <v>#REF!</v>
      </c>
      <c r="F27" s="117" t="e">
        <f>#REF!*#REF!</f>
        <v>#REF!</v>
      </c>
      <c r="G27" s="117" t="e">
        <f>#REF!*#REF!</f>
        <v>#REF!</v>
      </c>
      <c r="H27" s="117" t="e">
        <f>#REF!*#REF!</f>
        <v>#REF!</v>
      </c>
      <c r="I27" s="118"/>
      <c r="J27" s="119"/>
      <c r="K27" s="16"/>
      <c r="L27" s="16"/>
      <c r="M27" s="16"/>
      <c r="N27" s="32"/>
      <c r="O27" s="16"/>
      <c r="P27" s="16"/>
      <c r="Q27" s="16"/>
      <c r="R27" s="33"/>
      <c r="S27" s="120"/>
      <c r="T27" s="16"/>
      <c r="U27" s="16"/>
      <c r="V27" s="16"/>
      <c r="W27" s="32"/>
      <c r="X27" s="16"/>
      <c r="Y27" s="16"/>
      <c r="Z27" s="16"/>
      <c r="AA27" s="32"/>
      <c r="AB27" s="36"/>
    </row>
    <row r="28" spans="1:28" hidden="1">
      <c r="A28" s="116" t="s">
        <v>78</v>
      </c>
      <c r="B28" s="117" t="e">
        <f>#REF!*#REF!</f>
        <v>#REF!</v>
      </c>
      <c r="C28" s="117" t="e">
        <f>#REF!*#REF!</f>
        <v>#REF!</v>
      </c>
      <c r="D28" s="117" t="e">
        <f>#REF!*#REF!</f>
        <v>#REF!</v>
      </c>
      <c r="E28" s="117" t="e">
        <f>#REF!*#REF!</f>
        <v>#REF!</v>
      </c>
      <c r="F28" s="117" t="e">
        <f>#REF!*#REF!</f>
        <v>#REF!</v>
      </c>
      <c r="G28" s="117" t="e">
        <f>#REF!*#REF!</f>
        <v>#REF!</v>
      </c>
      <c r="H28" s="117" t="e">
        <f>#REF!*#REF!</f>
        <v>#REF!</v>
      </c>
      <c r="I28" s="118"/>
      <c r="J28" s="119"/>
      <c r="K28" s="16"/>
      <c r="L28" s="16"/>
      <c r="M28" s="16"/>
      <c r="N28" s="32"/>
      <c r="O28" s="16"/>
      <c r="P28" s="16"/>
      <c r="Q28" s="16"/>
      <c r="R28" s="33"/>
      <c r="S28" s="120"/>
      <c r="T28" s="16"/>
      <c r="U28" s="16"/>
      <c r="V28" s="16"/>
      <c r="W28" s="32"/>
      <c r="X28" s="16"/>
      <c r="Y28" s="16"/>
      <c r="Z28" s="16"/>
      <c r="AA28" s="32"/>
      <c r="AB28" s="36"/>
    </row>
    <row r="29" spans="1:28" hidden="1">
      <c r="A29" s="116" t="s">
        <v>79</v>
      </c>
      <c r="B29" s="117" t="e">
        <f>#REF!*#REF!</f>
        <v>#REF!</v>
      </c>
      <c r="C29" s="117" t="e">
        <f>#REF!*#REF!</f>
        <v>#REF!</v>
      </c>
      <c r="D29" s="117" t="e">
        <f>#REF!*#REF!</f>
        <v>#REF!</v>
      </c>
      <c r="E29" s="117" t="e">
        <f>#REF!*#REF!</f>
        <v>#REF!</v>
      </c>
      <c r="F29" s="117" t="e">
        <f>#REF!*#REF!</f>
        <v>#REF!</v>
      </c>
      <c r="G29" s="117" t="e">
        <f>#REF!*#REF!</f>
        <v>#REF!</v>
      </c>
      <c r="H29" s="117" t="e">
        <f>#REF!*#REF!</f>
        <v>#REF!</v>
      </c>
      <c r="I29" s="118"/>
      <c r="J29" s="119"/>
      <c r="K29" s="16"/>
      <c r="L29" s="16"/>
      <c r="M29" s="16"/>
      <c r="N29" s="32"/>
      <c r="O29" s="16"/>
      <c r="P29" s="16"/>
      <c r="Q29" s="16"/>
      <c r="R29" s="33"/>
      <c r="S29" s="120"/>
      <c r="T29" s="16"/>
      <c r="U29" s="16"/>
      <c r="V29" s="16"/>
      <c r="W29" s="32"/>
      <c r="X29" s="16"/>
      <c r="Y29" s="16"/>
      <c r="Z29" s="16"/>
      <c r="AA29" s="32"/>
      <c r="AB29" s="36"/>
    </row>
    <row r="30" spans="1:28" hidden="1">
      <c r="A30" s="17" t="s">
        <v>80</v>
      </c>
      <c r="B30" s="117" t="e">
        <f>#REF!*#REF!</f>
        <v>#REF!</v>
      </c>
      <c r="C30" s="117" t="e">
        <f>#REF!*#REF!</f>
        <v>#REF!</v>
      </c>
      <c r="D30" s="117" t="e">
        <f>#REF!*#REF!</f>
        <v>#REF!</v>
      </c>
      <c r="E30" s="117" t="e">
        <f>#REF!*#REF!</f>
        <v>#REF!</v>
      </c>
      <c r="F30" s="117" t="e">
        <f>#REF!*#REF!</f>
        <v>#REF!</v>
      </c>
      <c r="G30" s="117" t="e">
        <f>#REF!*#REF!</f>
        <v>#REF!</v>
      </c>
      <c r="H30" s="117" t="e">
        <f>#REF!*#REF!</f>
        <v>#REF!</v>
      </c>
      <c r="I30" s="118"/>
      <c r="J30" s="35"/>
      <c r="K30" s="18"/>
      <c r="L30" s="18"/>
      <c r="M30" s="18"/>
      <c r="N30" s="32"/>
      <c r="O30" s="18"/>
      <c r="P30" s="18"/>
      <c r="Q30" s="18"/>
      <c r="R30" s="33"/>
      <c r="S30" s="44"/>
      <c r="T30" s="18"/>
      <c r="U30" s="18"/>
      <c r="V30" s="18"/>
      <c r="W30" s="32"/>
      <c r="X30" s="18"/>
      <c r="Y30" s="18"/>
      <c r="Z30" s="18"/>
      <c r="AA30" s="32"/>
      <c r="AB30" s="37"/>
    </row>
    <row r="31" spans="1:28" hidden="1">
      <c r="A31" s="116" t="s">
        <v>81</v>
      </c>
      <c r="B31" s="117" t="e">
        <f>#REF!*#REF!</f>
        <v>#REF!</v>
      </c>
      <c r="C31" s="117" t="e">
        <f>#REF!*#REF!</f>
        <v>#REF!</v>
      </c>
      <c r="D31" s="117" t="e">
        <f>#REF!*#REF!</f>
        <v>#REF!</v>
      </c>
      <c r="E31" s="117" t="e">
        <f>#REF!*#REF!</f>
        <v>#REF!</v>
      </c>
      <c r="F31" s="117" t="e">
        <f>#REF!*#REF!</f>
        <v>#REF!</v>
      </c>
      <c r="G31" s="117" t="e">
        <f>#REF!*#REF!</f>
        <v>#REF!</v>
      </c>
      <c r="H31" s="117" t="e">
        <f>#REF!*#REF!</f>
        <v>#REF!</v>
      </c>
      <c r="I31" s="118"/>
      <c r="J31" s="119"/>
      <c r="K31" s="16"/>
      <c r="L31" s="16"/>
      <c r="M31" s="16"/>
      <c r="N31" s="32"/>
      <c r="O31" s="16"/>
      <c r="P31" s="16"/>
      <c r="Q31" s="16"/>
      <c r="R31" s="33"/>
      <c r="S31" s="120"/>
      <c r="T31" s="16"/>
      <c r="U31" s="16"/>
      <c r="V31" s="16"/>
      <c r="W31" s="32"/>
      <c r="X31" s="16"/>
      <c r="Y31" s="16"/>
      <c r="Z31" s="16"/>
      <c r="AA31" s="32"/>
      <c r="AB31" s="36"/>
    </row>
    <row r="32" spans="1:28" hidden="1">
      <c r="A32" s="17" t="s">
        <v>82</v>
      </c>
      <c r="B32" s="117" t="e">
        <f>#REF!*#REF!</f>
        <v>#REF!</v>
      </c>
      <c r="C32" s="117" t="e">
        <f>#REF!*#REF!</f>
        <v>#REF!</v>
      </c>
      <c r="D32" s="117" t="e">
        <f>#REF!*#REF!</f>
        <v>#REF!</v>
      </c>
      <c r="E32" s="117" t="e">
        <f>#REF!*#REF!</f>
        <v>#REF!</v>
      </c>
      <c r="F32" s="117" t="e">
        <f>#REF!*#REF!</f>
        <v>#REF!</v>
      </c>
      <c r="G32" s="117" t="e">
        <f>#REF!*#REF!</f>
        <v>#REF!</v>
      </c>
      <c r="H32" s="117" t="e">
        <f>#REF!*#REF!</f>
        <v>#REF!</v>
      </c>
      <c r="I32" s="118"/>
      <c r="J32" s="119"/>
      <c r="K32" s="16"/>
      <c r="L32" s="16"/>
      <c r="M32" s="16"/>
      <c r="N32" s="32"/>
      <c r="O32" s="16"/>
      <c r="P32" s="16"/>
      <c r="Q32" s="16"/>
      <c r="R32" s="33"/>
      <c r="S32" s="120"/>
      <c r="T32" s="16"/>
      <c r="U32" s="16"/>
      <c r="V32" s="16"/>
      <c r="W32" s="32"/>
      <c r="X32" s="16"/>
      <c r="Y32" s="16"/>
      <c r="Z32" s="16"/>
      <c r="AA32" s="32"/>
      <c r="AB32" s="36"/>
    </row>
    <row r="33" spans="1:28" hidden="1">
      <c r="A33" s="116" t="s">
        <v>83</v>
      </c>
      <c r="B33" s="117" t="e">
        <f>#REF!*#REF!</f>
        <v>#REF!</v>
      </c>
      <c r="C33" s="117" t="e">
        <f>#REF!*#REF!</f>
        <v>#REF!</v>
      </c>
      <c r="D33" s="117" t="e">
        <f>#REF!*#REF!</f>
        <v>#REF!</v>
      </c>
      <c r="E33" s="117" t="e">
        <f>#REF!*#REF!</f>
        <v>#REF!</v>
      </c>
      <c r="F33" s="117" t="e">
        <f>#REF!*#REF!</f>
        <v>#REF!</v>
      </c>
      <c r="G33" s="117" t="e">
        <f>#REF!*#REF!</f>
        <v>#REF!</v>
      </c>
      <c r="H33" s="117" t="e">
        <f>#REF!*#REF!</f>
        <v>#REF!</v>
      </c>
      <c r="I33" s="118"/>
      <c r="J33" s="119"/>
      <c r="K33" s="16"/>
      <c r="L33" s="16"/>
      <c r="M33" s="16"/>
      <c r="N33" s="32"/>
      <c r="O33" s="16"/>
      <c r="P33" s="16"/>
      <c r="Q33" s="16"/>
      <c r="R33" s="33"/>
      <c r="S33" s="120"/>
      <c r="T33" s="16"/>
      <c r="U33" s="16"/>
      <c r="V33" s="16"/>
      <c r="W33" s="32"/>
      <c r="X33" s="16"/>
      <c r="Y33" s="16"/>
      <c r="Z33" s="16"/>
      <c r="AA33" s="32"/>
      <c r="AB33" s="36"/>
    </row>
    <row r="34" spans="1:28" hidden="1">
      <c r="A34" s="17" t="s">
        <v>84</v>
      </c>
      <c r="B34" s="117" t="e">
        <f>#REF!*#REF!</f>
        <v>#REF!</v>
      </c>
      <c r="C34" s="117" t="e">
        <f>#REF!*#REF!</f>
        <v>#REF!</v>
      </c>
      <c r="D34" s="117" t="e">
        <f>#REF!*#REF!</f>
        <v>#REF!</v>
      </c>
      <c r="E34" s="117" t="e">
        <f>#REF!*#REF!</f>
        <v>#REF!</v>
      </c>
      <c r="F34" s="117" t="e">
        <f>#REF!*#REF!</f>
        <v>#REF!</v>
      </c>
      <c r="G34" s="117" t="e">
        <f>#REF!*#REF!</f>
        <v>#REF!</v>
      </c>
      <c r="H34" s="117" t="e">
        <f>#REF!*#REF!</f>
        <v>#REF!</v>
      </c>
      <c r="I34" s="118"/>
      <c r="J34" s="35"/>
      <c r="K34" s="18"/>
      <c r="L34" s="18"/>
      <c r="M34" s="18"/>
      <c r="N34" s="32"/>
      <c r="O34" s="18"/>
      <c r="P34" s="18"/>
      <c r="Q34" s="18"/>
      <c r="R34" s="33"/>
      <c r="S34" s="44"/>
      <c r="T34" s="18"/>
      <c r="U34" s="18"/>
      <c r="V34" s="18"/>
      <c r="W34" s="32"/>
      <c r="X34" s="18"/>
      <c r="Y34" s="18"/>
      <c r="Z34" s="18"/>
      <c r="AA34" s="32"/>
      <c r="AB34" s="37"/>
    </row>
    <row r="35" spans="1:28" hidden="1">
      <c r="A35" s="116" t="s">
        <v>85</v>
      </c>
      <c r="B35" s="117" t="e">
        <f>#REF!*#REF!</f>
        <v>#REF!</v>
      </c>
      <c r="C35" s="117" t="e">
        <f>#REF!*#REF!</f>
        <v>#REF!</v>
      </c>
      <c r="D35" s="117" t="e">
        <f>#REF!*#REF!</f>
        <v>#REF!</v>
      </c>
      <c r="E35" s="117" t="e">
        <f>#REF!*#REF!</f>
        <v>#REF!</v>
      </c>
      <c r="F35" s="117" t="e">
        <f>#REF!*#REF!</f>
        <v>#REF!</v>
      </c>
      <c r="G35" s="117" t="e">
        <f>#REF!*#REF!</f>
        <v>#REF!</v>
      </c>
      <c r="H35" s="117" t="e">
        <f>#REF!*#REF!</f>
        <v>#REF!</v>
      </c>
      <c r="I35" s="118"/>
      <c r="J35" s="119"/>
      <c r="K35" s="16"/>
      <c r="L35" s="16"/>
      <c r="M35" s="16"/>
      <c r="N35" s="32"/>
      <c r="O35" s="16"/>
      <c r="P35" s="16"/>
      <c r="Q35" s="16"/>
      <c r="R35" s="33"/>
      <c r="S35" s="120"/>
      <c r="T35" s="16"/>
      <c r="U35" s="16"/>
      <c r="V35" s="16"/>
      <c r="W35" s="32"/>
      <c r="X35" s="16"/>
      <c r="Y35" s="16"/>
      <c r="Z35" s="16"/>
      <c r="AA35" s="32"/>
      <c r="AB35" s="36"/>
    </row>
    <row r="36" spans="1:28" hidden="1">
      <c r="A36" s="116" t="s">
        <v>86</v>
      </c>
      <c r="B36" s="117" t="e">
        <f>#REF!*#REF!</f>
        <v>#REF!</v>
      </c>
      <c r="C36" s="117" t="e">
        <f>#REF!*#REF!</f>
        <v>#REF!</v>
      </c>
      <c r="D36" s="117" t="e">
        <f>#REF!*#REF!</f>
        <v>#REF!</v>
      </c>
      <c r="E36" s="117" t="e">
        <f>#REF!*#REF!</f>
        <v>#REF!</v>
      </c>
      <c r="F36" s="117" t="e">
        <f>#REF!*#REF!</f>
        <v>#REF!</v>
      </c>
      <c r="G36" s="117" t="e">
        <f>#REF!*#REF!</f>
        <v>#REF!</v>
      </c>
      <c r="H36" s="117" t="e">
        <f>#REF!*#REF!</f>
        <v>#REF!</v>
      </c>
      <c r="I36" s="118"/>
      <c r="J36" s="119"/>
      <c r="K36" s="16"/>
      <c r="L36" s="16"/>
      <c r="M36" s="16"/>
      <c r="N36" s="32"/>
      <c r="O36" s="16"/>
      <c r="P36" s="16"/>
      <c r="Q36" s="16"/>
      <c r="R36" s="33"/>
      <c r="S36" s="120"/>
      <c r="T36" s="16"/>
      <c r="U36" s="16"/>
      <c r="V36" s="16"/>
      <c r="W36" s="32"/>
      <c r="X36" s="16"/>
      <c r="Y36" s="16"/>
      <c r="Z36" s="16"/>
      <c r="AA36" s="32"/>
      <c r="AB36" s="36"/>
    </row>
    <row r="37" spans="1:28" hidden="1">
      <c r="A37" s="116" t="s">
        <v>87</v>
      </c>
      <c r="B37" s="117" t="e">
        <f>#REF!*#REF!</f>
        <v>#REF!</v>
      </c>
      <c r="C37" s="117" t="e">
        <f>#REF!*#REF!</f>
        <v>#REF!</v>
      </c>
      <c r="D37" s="117" t="e">
        <f>#REF!*#REF!</f>
        <v>#REF!</v>
      </c>
      <c r="E37" s="117" t="e">
        <f>#REF!*#REF!</f>
        <v>#REF!</v>
      </c>
      <c r="F37" s="117" t="e">
        <f>#REF!*#REF!</f>
        <v>#REF!</v>
      </c>
      <c r="G37" s="117" t="e">
        <f>#REF!*#REF!</f>
        <v>#REF!</v>
      </c>
      <c r="H37" s="117" t="e">
        <f>#REF!*#REF!</f>
        <v>#REF!</v>
      </c>
      <c r="I37" s="118"/>
      <c r="J37" s="119"/>
      <c r="K37" s="16"/>
      <c r="L37" s="16"/>
      <c r="M37" s="16"/>
      <c r="N37" s="32"/>
      <c r="O37" s="16"/>
      <c r="P37" s="16"/>
      <c r="Q37" s="16"/>
      <c r="R37" s="33"/>
      <c r="S37" s="120"/>
      <c r="T37" s="16"/>
      <c r="U37" s="16"/>
      <c r="V37" s="16"/>
      <c r="W37" s="32"/>
      <c r="X37" s="16"/>
      <c r="Y37" s="16"/>
      <c r="Z37" s="16"/>
      <c r="AA37" s="32"/>
      <c r="AB37" s="36"/>
    </row>
    <row r="38" spans="1:28" hidden="1">
      <c r="A38" s="17" t="s">
        <v>88</v>
      </c>
      <c r="B38" s="117" t="e">
        <f>#REF!*#REF!</f>
        <v>#REF!</v>
      </c>
      <c r="C38" s="117" t="e">
        <f>#REF!*#REF!</f>
        <v>#REF!</v>
      </c>
      <c r="D38" s="117" t="e">
        <f>#REF!*#REF!</f>
        <v>#REF!</v>
      </c>
      <c r="E38" s="117" t="e">
        <f>#REF!*#REF!</f>
        <v>#REF!</v>
      </c>
      <c r="F38" s="117" t="e">
        <f>#REF!*#REF!</f>
        <v>#REF!</v>
      </c>
      <c r="G38" s="117" t="e">
        <f>#REF!*#REF!</f>
        <v>#REF!</v>
      </c>
      <c r="H38" s="117" t="e">
        <f>#REF!*#REF!</f>
        <v>#REF!</v>
      </c>
      <c r="I38" s="118"/>
      <c r="J38" s="35"/>
      <c r="K38" s="18"/>
      <c r="L38" s="18"/>
      <c r="M38" s="18"/>
      <c r="N38" s="32"/>
      <c r="O38" s="18"/>
      <c r="P38" s="18"/>
      <c r="Q38" s="18"/>
      <c r="R38" s="33"/>
      <c r="S38" s="44"/>
      <c r="T38" s="18"/>
      <c r="U38" s="18"/>
      <c r="V38" s="18"/>
      <c r="W38" s="32"/>
      <c r="X38" s="18"/>
      <c r="Y38" s="18"/>
      <c r="Z38" s="18"/>
      <c r="AA38" s="32"/>
      <c r="AB38" s="37"/>
    </row>
    <row r="39" spans="1:28" hidden="1">
      <c r="A39" s="116" t="s">
        <v>89</v>
      </c>
      <c r="B39" s="117" t="e">
        <f>#REF!*#REF!</f>
        <v>#REF!</v>
      </c>
      <c r="C39" s="117" t="e">
        <f>#REF!*#REF!</f>
        <v>#REF!</v>
      </c>
      <c r="D39" s="117" t="e">
        <f>#REF!*#REF!</f>
        <v>#REF!</v>
      </c>
      <c r="E39" s="117" t="e">
        <f>#REF!*#REF!</f>
        <v>#REF!</v>
      </c>
      <c r="F39" s="117" t="e">
        <f>#REF!*#REF!</f>
        <v>#REF!</v>
      </c>
      <c r="G39" s="117" t="e">
        <f>#REF!*#REF!</f>
        <v>#REF!</v>
      </c>
      <c r="H39" s="117" t="e">
        <f>#REF!*#REF!</f>
        <v>#REF!</v>
      </c>
      <c r="I39" s="118"/>
      <c r="J39" s="119"/>
      <c r="K39" s="16"/>
      <c r="L39" s="16"/>
      <c r="M39" s="16"/>
      <c r="N39" s="32"/>
      <c r="O39" s="16"/>
      <c r="P39" s="16"/>
      <c r="Q39" s="16"/>
      <c r="R39" s="33"/>
      <c r="S39" s="120"/>
      <c r="T39" s="16"/>
      <c r="U39" s="16"/>
      <c r="V39" s="16"/>
      <c r="W39" s="32"/>
      <c r="X39" s="16"/>
      <c r="Y39" s="16"/>
      <c r="Z39" s="16"/>
      <c r="AA39" s="32"/>
      <c r="AB39" s="36"/>
    </row>
    <row r="40" spans="1:28" hidden="1">
      <c r="A40" s="116" t="s">
        <v>90</v>
      </c>
      <c r="B40" s="117" t="e">
        <f>#REF!*#REF!</f>
        <v>#REF!</v>
      </c>
      <c r="C40" s="117" t="e">
        <f>#REF!*#REF!</f>
        <v>#REF!</v>
      </c>
      <c r="D40" s="117" t="e">
        <f>#REF!*#REF!</f>
        <v>#REF!</v>
      </c>
      <c r="E40" s="117" t="e">
        <f>#REF!*#REF!</f>
        <v>#REF!</v>
      </c>
      <c r="F40" s="117" t="e">
        <f>#REF!*#REF!</f>
        <v>#REF!</v>
      </c>
      <c r="G40" s="117" t="e">
        <f>#REF!*#REF!</f>
        <v>#REF!</v>
      </c>
      <c r="H40" s="117" t="e">
        <f>#REF!*#REF!</f>
        <v>#REF!</v>
      </c>
      <c r="I40" s="118"/>
      <c r="J40" s="119"/>
      <c r="K40" s="16"/>
      <c r="L40" s="16"/>
      <c r="M40" s="16"/>
      <c r="N40" s="32"/>
      <c r="O40" s="16"/>
      <c r="P40" s="16"/>
      <c r="Q40" s="16"/>
      <c r="R40" s="33"/>
      <c r="S40" s="120"/>
      <c r="T40" s="16"/>
      <c r="U40" s="16"/>
      <c r="V40" s="16"/>
      <c r="W40" s="32"/>
      <c r="X40" s="16"/>
      <c r="Y40" s="16"/>
      <c r="Z40" s="16"/>
      <c r="AA40" s="32"/>
      <c r="AB40" s="36"/>
    </row>
    <row r="41" spans="1:28" hidden="1">
      <c r="A41" s="116" t="s">
        <v>91</v>
      </c>
      <c r="B41" s="117" t="e">
        <f>#REF!*#REF!</f>
        <v>#REF!</v>
      </c>
      <c r="C41" s="117" t="e">
        <f>#REF!*#REF!</f>
        <v>#REF!</v>
      </c>
      <c r="D41" s="117" t="e">
        <f>#REF!*#REF!</f>
        <v>#REF!</v>
      </c>
      <c r="E41" s="117" t="e">
        <f>#REF!*#REF!</f>
        <v>#REF!</v>
      </c>
      <c r="F41" s="117" t="e">
        <f>#REF!*#REF!</f>
        <v>#REF!</v>
      </c>
      <c r="G41" s="117" t="e">
        <f>#REF!*#REF!</f>
        <v>#REF!</v>
      </c>
      <c r="H41" s="117" t="e">
        <f>#REF!*#REF!</f>
        <v>#REF!</v>
      </c>
      <c r="I41" s="118"/>
      <c r="J41" s="119"/>
      <c r="K41" s="16"/>
      <c r="L41" s="16"/>
      <c r="M41" s="16"/>
      <c r="N41" s="32"/>
      <c r="O41" s="16"/>
      <c r="P41" s="16"/>
      <c r="Q41" s="16"/>
      <c r="R41" s="33"/>
      <c r="S41" s="120"/>
      <c r="T41" s="16"/>
      <c r="U41" s="16"/>
      <c r="V41" s="16"/>
      <c r="W41" s="32"/>
      <c r="X41" s="16"/>
      <c r="Y41" s="16"/>
      <c r="Z41" s="16"/>
      <c r="AA41" s="32"/>
      <c r="AB41" s="36"/>
    </row>
    <row r="42" spans="1:28" hidden="1">
      <c r="A42" s="17" t="s">
        <v>92</v>
      </c>
      <c r="B42" s="117" t="e">
        <f>#REF!*#REF!</f>
        <v>#REF!</v>
      </c>
      <c r="C42" s="117" t="e">
        <f>#REF!*#REF!</f>
        <v>#REF!</v>
      </c>
      <c r="D42" s="117" t="e">
        <f>#REF!*#REF!</f>
        <v>#REF!</v>
      </c>
      <c r="E42" s="117" t="e">
        <f>#REF!*#REF!</f>
        <v>#REF!</v>
      </c>
      <c r="F42" s="117" t="e">
        <f>#REF!*#REF!</f>
        <v>#REF!</v>
      </c>
      <c r="G42" s="117" t="e">
        <f>#REF!*#REF!</f>
        <v>#REF!</v>
      </c>
      <c r="H42" s="117" t="e">
        <f>#REF!*#REF!</f>
        <v>#REF!</v>
      </c>
      <c r="I42" s="118"/>
      <c r="J42" s="35"/>
      <c r="K42" s="18"/>
      <c r="L42" s="18"/>
      <c r="M42" s="18"/>
      <c r="N42" s="32"/>
      <c r="O42" s="18"/>
      <c r="P42" s="18"/>
      <c r="Q42" s="18"/>
      <c r="R42" s="33"/>
      <c r="S42" s="44"/>
      <c r="T42" s="18"/>
      <c r="U42" s="18"/>
      <c r="V42" s="18"/>
      <c r="W42" s="32"/>
      <c r="X42" s="18"/>
      <c r="Y42" s="18"/>
      <c r="Z42" s="18"/>
      <c r="AA42" s="32"/>
      <c r="AB42" s="37"/>
    </row>
    <row r="43" spans="1:28" hidden="1">
      <c r="A43" s="116" t="s">
        <v>93</v>
      </c>
      <c r="B43" s="117" t="e">
        <f>#REF!*#REF!</f>
        <v>#REF!</v>
      </c>
      <c r="C43" s="117" t="e">
        <f>#REF!*#REF!</f>
        <v>#REF!</v>
      </c>
      <c r="D43" s="117" t="e">
        <f>#REF!*#REF!</f>
        <v>#REF!</v>
      </c>
      <c r="E43" s="117" t="e">
        <f>#REF!*#REF!</f>
        <v>#REF!</v>
      </c>
      <c r="F43" s="117" t="e">
        <f>#REF!*#REF!</f>
        <v>#REF!</v>
      </c>
      <c r="G43" s="117" t="e">
        <f>#REF!*#REF!</f>
        <v>#REF!</v>
      </c>
      <c r="H43" s="117" t="e">
        <f>#REF!*#REF!</f>
        <v>#REF!</v>
      </c>
      <c r="I43" s="118"/>
      <c r="J43" s="119"/>
      <c r="K43" s="16"/>
      <c r="L43" s="16"/>
      <c r="M43" s="16"/>
      <c r="N43" s="32"/>
      <c r="O43" s="16"/>
      <c r="P43" s="16"/>
      <c r="Q43" s="16"/>
      <c r="R43" s="33"/>
      <c r="S43" s="120"/>
      <c r="T43" s="16"/>
      <c r="U43" s="16"/>
      <c r="V43" s="16"/>
      <c r="W43" s="32"/>
      <c r="X43" s="16"/>
      <c r="Y43" s="16"/>
      <c r="Z43" s="16"/>
      <c r="AA43" s="32"/>
      <c r="AB43" s="36"/>
    </row>
    <row r="44" spans="1:28" hidden="1">
      <c r="A44" s="116" t="s">
        <v>94</v>
      </c>
      <c r="B44" s="117" t="e">
        <f>#REF!*#REF!</f>
        <v>#REF!</v>
      </c>
      <c r="C44" s="117" t="e">
        <f>#REF!*#REF!</f>
        <v>#REF!</v>
      </c>
      <c r="D44" s="117" t="e">
        <f>#REF!*#REF!</f>
        <v>#REF!</v>
      </c>
      <c r="E44" s="117" t="e">
        <f>#REF!*#REF!</f>
        <v>#REF!</v>
      </c>
      <c r="F44" s="117" t="e">
        <f>#REF!*#REF!</f>
        <v>#REF!</v>
      </c>
      <c r="G44" s="117" t="e">
        <f>#REF!*#REF!</f>
        <v>#REF!</v>
      </c>
      <c r="H44" s="117" t="e">
        <f>#REF!*#REF!</f>
        <v>#REF!</v>
      </c>
      <c r="I44" s="118"/>
      <c r="J44" s="119"/>
      <c r="K44" s="16"/>
      <c r="L44" s="16"/>
      <c r="M44" s="16"/>
      <c r="N44" s="32"/>
      <c r="O44" s="16"/>
      <c r="P44" s="16"/>
      <c r="Q44" s="16"/>
      <c r="R44" s="33"/>
      <c r="S44" s="120"/>
      <c r="T44" s="16"/>
      <c r="U44" s="16"/>
      <c r="V44" s="16"/>
      <c r="W44" s="32"/>
      <c r="X44" s="16"/>
      <c r="Y44" s="16"/>
      <c r="Z44" s="16"/>
      <c r="AA44" s="32"/>
      <c r="AB44" s="36"/>
    </row>
    <row r="45" spans="1:28" hidden="1">
      <c r="A45" s="116" t="s">
        <v>95</v>
      </c>
      <c r="B45" s="117" t="e">
        <f>#REF!*#REF!</f>
        <v>#REF!</v>
      </c>
      <c r="C45" s="117" t="e">
        <f>#REF!*#REF!</f>
        <v>#REF!</v>
      </c>
      <c r="D45" s="117" t="e">
        <f>#REF!*#REF!</f>
        <v>#REF!</v>
      </c>
      <c r="E45" s="117" t="e">
        <f>#REF!*#REF!</f>
        <v>#REF!</v>
      </c>
      <c r="F45" s="117" t="e">
        <f>#REF!*#REF!</f>
        <v>#REF!</v>
      </c>
      <c r="G45" s="117" t="e">
        <f>#REF!*#REF!</f>
        <v>#REF!</v>
      </c>
      <c r="H45" s="117" t="e">
        <f>#REF!*#REF!</f>
        <v>#REF!</v>
      </c>
      <c r="I45" s="118"/>
      <c r="J45" s="119"/>
      <c r="K45" s="16"/>
      <c r="L45" s="16"/>
      <c r="M45" s="16"/>
      <c r="N45" s="32"/>
      <c r="O45" s="16"/>
      <c r="P45" s="16"/>
      <c r="Q45" s="16"/>
      <c r="R45" s="33"/>
      <c r="S45" s="120"/>
      <c r="T45" s="16"/>
      <c r="U45" s="16"/>
      <c r="V45" s="16"/>
      <c r="W45" s="32"/>
      <c r="X45" s="16"/>
      <c r="Y45" s="16"/>
      <c r="Z45" s="16"/>
      <c r="AA45" s="32"/>
      <c r="AB45" s="36"/>
    </row>
    <row r="46" spans="1:28" hidden="1">
      <c r="A46" s="17" t="s">
        <v>96</v>
      </c>
      <c r="B46" s="117" t="e">
        <f>#REF!*#REF!</f>
        <v>#REF!</v>
      </c>
      <c r="C46" s="117" t="e">
        <f>#REF!*#REF!</f>
        <v>#REF!</v>
      </c>
      <c r="D46" s="117" t="e">
        <f>#REF!*#REF!</f>
        <v>#REF!</v>
      </c>
      <c r="E46" s="117" t="e">
        <f>#REF!*#REF!</f>
        <v>#REF!</v>
      </c>
      <c r="F46" s="117" t="e">
        <f>#REF!*#REF!</f>
        <v>#REF!</v>
      </c>
      <c r="G46" s="117" t="e">
        <f>#REF!*#REF!</f>
        <v>#REF!</v>
      </c>
      <c r="H46" s="117" t="e">
        <f>#REF!*#REF!</f>
        <v>#REF!</v>
      </c>
      <c r="I46" s="118"/>
      <c r="J46" s="35"/>
      <c r="K46" s="18"/>
      <c r="L46" s="18"/>
      <c r="M46" s="18"/>
      <c r="N46" s="32"/>
      <c r="O46" s="18"/>
      <c r="P46" s="18"/>
      <c r="Q46" s="18"/>
      <c r="R46" s="33"/>
      <c r="S46" s="44"/>
      <c r="T46" s="18"/>
      <c r="U46" s="18"/>
      <c r="V46" s="18"/>
      <c r="W46" s="32"/>
      <c r="X46" s="18"/>
      <c r="Y46" s="18"/>
      <c r="Z46" s="18"/>
      <c r="AA46" s="32"/>
      <c r="AB46" s="37"/>
    </row>
    <row r="47" spans="1:28" hidden="1">
      <c r="A47" s="116" t="s">
        <v>97</v>
      </c>
      <c r="B47" s="117" t="e">
        <f>#REF!*#REF!</f>
        <v>#REF!</v>
      </c>
      <c r="C47" s="117" t="e">
        <f>#REF!*#REF!</f>
        <v>#REF!</v>
      </c>
      <c r="D47" s="117" t="e">
        <f>#REF!*#REF!</f>
        <v>#REF!</v>
      </c>
      <c r="E47" s="117" t="e">
        <f>#REF!*#REF!</f>
        <v>#REF!</v>
      </c>
      <c r="F47" s="117" t="e">
        <f>#REF!*#REF!</f>
        <v>#REF!</v>
      </c>
      <c r="G47" s="117" t="e">
        <f>#REF!*#REF!</f>
        <v>#REF!</v>
      </c>
      <c r="H47" s="117" t="e">
        <f>#REF!*#REF!</f>
        <v>#REF!</v>
      </c>
      <c r="I47" s="118"/>
      <c r="J47" s="119"/>
      <c r="K47" s="16"/>
      <c r="L47" s="16"/>
      <c r="M47" s="16"/>
      <c r="N47" s="32"/>
      <c r="O47" s="16"/>
      <c r="P47" s="16"/>
      <c r="Q47" s="16"/>
      <c r="R47" s="33"/>
      <c r="S47" s="120"/>
      <c r="T47" s="16"/>
      <c r="U47" s="16"/>
      <c r="V47" s="16"/>
      <c r="W47" s="32"/>
      <c r="X47" s="16"/>
      <c r="Y47" s="16"/>
      <c r="Z47" s="16"/>
      <c r="AA47" s="32"/>
      <c r="AB47" s="36"/>
    </row>
    <row r="48" spans="1:28" hidden="1">
      <c r="A48" s="116" t="s">
        <v>98</v>
      </c>
      <c r="B48" s="117" t="e">
        <f>#REF!*#REF!</f>
        <v>#REF!</v>
      </c>
      <c r="C48" s="117" t="e">
        <f>#REF!*#REF!</f>
        <v>#REF!</v>
      </c>
      <c r="D48" s="117" t="e">
        <f>#REF!*#REF!</f>
        <v>#REF!</v>
      </c>
      <c r="E48" s="117" t="e">
        <f>#REF!*#REF!</f>
        <v>#REF!</v>
      </c>
      <c r="F48" s="117" t="e">
        <f>#REF!*#REF!</f>
        <v>#REF!</v>
      </c>
      <c r="G48" s="117" t="e">
        <f>#REF!*#REF!</f>
        <v>#REF!</v>
      </c>
      <c r="H48" s="117" t="e">
        <f>#REF!*#REF!</f>
        <v>#REF!</v>
      </c>
      <c r="I48" s="118"/>
      <c r="J48" s="119"/>
      <c r="K48" s="16"/>
      <c r="L48" s="16"/>
      <c r="M48" s="16"/>
      <c r="N48" s="32"/>
      <c r="O48" s="16"/>
      <c r="P48" s="16"/>
      <c r="Q48" s="16"/>
      <c r="R48" s="33"/>
      <c r="S48" s="120"/>
      <c r="T48" s="16"/>
      <c r="U48" s="16"/>
      <c r="V48" s="16"/>
      <c r="W48" s="32"/>
      <c r="X48" s="16"/>
      <c r="Y48" s="16"/>
      <c r="Z48" s="16"/>
      <c r="AA48" s="32"/>
      <c r="AB48" s="36"/>
    </row>
    <row r="49" spans="1:28" hidden="1">
      <c r="A49" s="116" t="s">
        <v>99</v>
      </c>
      <c r="B49" s="117" t="e">
        <f>#REF!*#REF!</f>
        <v>#REF!</v>
      </c>
      <c r="C49" s="117" t="e">
        <f>#REF!*#REF!</f>
        <v>#REF!</v>
      </c>
      <c r="D49" s="117" t="e">
        <f>#REF!*#REF!</f>
        <v>#REF!</v>
      </c>
      <c r="E49" s="117" t="e">
        <f>#REF!*#REF!</f>
        <v>#REF!</v>
      </c>
      <c r="F49" s="117" t="e">
        <f>#REF!*#REF!</f>
        <v>#REF!</v>
      </c>
      <c r="G49" s="117" t="e">
        <f>#REF!*#REF!</f>
        <v>#REF!</v>
      </c>
      <c r="H49" s="117" t="e">
        <f>#REF!*#REF!</f>
        <v>#REF!</v>
      </c>
      <c r="I49" s="118"/>
      <c r="J49" s="119"/>
      <c r="K49" s="16"/>
      <c r="L49" s="16"/>
      <c r="M49" s="16"/>
      <c r="N49" s="32"/>
      <c r="O49" s="16"/>
      <c r="P49" s="16"/>
      <c r="Q49" s="16"/>
      <c r="R49" s="33"/>
      <c r="S49" s="120"/>
      <c r="T49" s="16"/>
      <c r="U49" s="16"/>
      <c r="V49" s="16"/>
      <c r="W49" s="32"/>
      <c r="X49" s="16"/>
      <c r="Y49" s="16"/>
      <c r="Z49" s="16"/>
      <c r="AA49" s="32"/>
      <c r="AB49" s="36"/>
    </row>
    <row r="50" spans="1:28" hidden="1">
      <c r="A50" s="17" t="s">
        <v>100</v>
      </c>
      <c r="B50" s="117" t="e">
        <f>#REF!*#REF!</f>
        <v>#REF!</v>
      </c>
      <c r="C50" s="117" t="e">
        <f>#REF!*#REF!</f>
        <v>#REF!</v>
      </c>
      <c r="D50" s="117" t="e">
        <f>#REF!*#REF!</f>
        <v>#REF!</v>
      </c>
      <c r="E50" s="117" t="e">
        <f>#REF!*#REF!</f>
        <v>#REF!</v>
      </c>
      <c r="F50" s="117" t="e">
        <f>#REF!*#REF!</f>
        <v>#REF!</v>
      </c>
      <c r="G50" s="117" t="e">
        <f>#REF!*#REF!</f>
        <v>#REF!</v>
      </c>
      <c r="H50" s="117" t="e">
        <f>#REF!*#REF!</f>
        <v>#REF!</v>
      </c>
      <c r="I50" s="118"/>
      <c r="J50" s="35"/>
      <c r="K50" s="18"/>
      <c r="L50" s="18"/>
      <c r="M50" s="18"/>
      <c r="N50" s="32"/>
      <c r="O50" s="18"/>
      <c r="P50" s="18"/>
      <c r="Q50" s="18"/>
      <c r="R50" s="33"/>
      <c r="S50" s="44"/>
      <c r="T50" s="18"/>
      <c r="U50" s="18"/>
      <c r="V50" s="18"/>
      <c r="W50" s="32"/>
      <c r="X50" s="18"/>
      <c r="Y50" s="18"/>
      <c r="Z50" s="18"/>
      <c r="AA50" s="32"/>
      <c r="AB50" s="37"/>
    </row>
    <row r="51" spans="1:28" hidden="1">
      <c r="A51" s="116" t="s">
        <v>101</v>
      </c>
      <c r="B51" s="117" t="e">
        <f>#REF!*#REF!</f>
        <v>#REF!</v>
      </c>
      <c r="C51" s="117" t="e">
        <f>#REF!*#REF!</f>
        <v>#REF!</v>
      </c>
      <c r="D51" s="117" t="e">
        <f>#REF!*#REF!</f>
        <v>#REF!</v>
      </c>
      <c r="E51" s="117" t="e">
        <f>#REF!*#REF!</f>
        <v>#REF!</v>
      </c>
      <c r="F51" s="117" t="e">
        <f>#REF!*#REF!</f>
        <v>#REF!</v>
      </c>
      <c r="G51" s="117" t="e">
        <f>#REF!*#REF!</f>
        <v>#REF!</v>
      </c>
      <c r="H51" s="117" t="e">
        <f>#REF!*#REF!</f>
        <v>#REF!</v>
      </c>
      <c r="I51" s="118"/>
      <c r="J51" s="119"/>
      <c r="K51" s="16"/>
      <c r="L51" s="16"/>
      <c r="M51" s="16"/>
      <c r="N51" s="32"/>
      <c r="O51" s="16"/>
      <c r="P51" s="16"/>
      <c r="Q51" s="16"/>
      <c r="R51" s="33"/>
      <c r="S51" s="120"/>
      <c r="T51" s="16"/>
      <c r="U51" s="16"/>
      <c r="V51" s="16"/>
      <c r="W51" s="32"/>
      <c r="X51" s="16"/>
      <c r="Y51" s="16"/>
      <c r="Z51" s="16"/>
      <c r="AA51" s="32"/>
      <c r="AB51" s="36"/>
    </row>
    <row r="52" spans="1:28" hidden="1">
      <c r="A52" s="116" t="s">
        <v>102</v>
      </c>
      <c r="B52" s="117" t="e">
        <f>#REF!*#REF!</f>
        <v>#REF!</v>
      </c>
      <c r="C52" s="117" t="e">
        <f>#REF!*#REF!</f>
        <v>#REF!</v>
      </c>
      <c r="D52" s="117" t="e">
        <f>#REF!*#REF!</f>
        <v>#REF!</v>
      </c>
      <c r="E52" s="117" t="e">
        <f>#REF!*#REF!</f>
        <v>#REF!</v>
      </c>
      <c r="F52" s="117" t="e">
        <f>#REF!*#REF!</f>
        <v>#REF!</v>
      </c>
      <c r="G52" s="117" t="e">
        <f>#REF!*#REF!</f>
        <v>#REF!</v>
      </c>
      <c r="H52" s="117" t="e">
        <f>#REF!*#REF!</f>
        <v>#REF!</v>
      </c>
      <c r="I52" s="118"/>
      <c r="J52" s="119"/>
      <c r="K52" s="16"/>
      <c r="L52" s="16"/>
      <c r="M52" s="16"/>
      <c r="N52" s="32"/>
      <c r="O52" s="16"/>
      <c r="P52" s="16"/>
      <c r="Q52" s="16"/>
      <c r="R52" s="33"/>
      <c r="S52" s="120"/>
      <c r="T52" s="16"/>
      <c r="U52" s="16"/>
      <c r="V52" s="16"/>
      <c r="W52" s="32"/>
      <c r="X52" s="16"/>
      <c r="Y52" s="16"/>
      <c r="Z52" s="16"/>
      <c r="AA52" s="32"/>
      <c r="AB52" s="36"/>
    </row>
    <row r="53" spans="1:28" hidden="1">
      <c r="A53" s="116" t="s">
        <v>103</v>
      </c>
      <c r="B53" s="117" t="e">
        <f>#REF!*#REF!</f>
        <v>#REF!</v>
      </c>
      <c r="C53" s="117" t="e">
        <f>#REF!*#REF!</f>
        <v>#REF!</v>
      </c>
      <c r="D53" s="117" t="e">
        <f>#REF!*#REF!</f>
        <v>#REF!</v>
      </c>
      <c r="E53" s="117" t="e">
        <f>#REF!*#REF!</f>
        <v>#REF!</v>
      </c>
      <c r="F53" s="117" t="e">
        <f>#REF!*#REF!</f>
        <v>#REF!</v>
      </c>
      <c r="G53" s="117" t="e">
        <f>#REF!*#REF!</f>
        <v>#REF!</v>
      </c>
      <c r="H53" s="117" t="e">
        <f>#REF!*#REF!</f>
        <v>#REF!</v>
      </c>
      <c r="I53" s="118"/>
      <c r="J53" s="119"/>
      <c r="K53" s="16"/>
      <c r="L53" s="16"/>
      <c r="M53" s="16"/>
      <c r="N53" s="32"/>
      <c r="O53" s="16"/>
      <c r="P53" s="16"/>
      <c r="Q53" s="16"/>
      <c r="R53" s="33"/>
      <c r="S53" s="120"/>
      <c r="T53" s="16"/>
      <c r="U53" s="16"/>
      <c r="V53" s="16"/>
      <c r="W53" s="32"/>
      <c r="X53" s="16"/>
      <c r="Y53" s="16"/>
      <c r="Z53" s="16"/>
      <c r="AA53" s="32"/>
      <c r="AB53" s="36"/>
    </row>
    <row r="54" spans="1:28" hidden="1">
      <c r="A54" s="17" t="s">
        <v>104</v>
      </c>
      <c r="B54" s="117" t="e">
        <f>#REF!*#REF!</f>
        <v>#REF!</v>
      </c>
      <c r="C54" s="117" t="e">
        <f>#REF!*#REF!</f>
        <v>#REF!</v>
      </c>
      <c r="D54" s="117" t="e">
        <f>#REF!*#REF!</f>
        <v>#REF!</v>
      </c>
      <c r="E54" s="117" t="e">
        <f>#REF!*#REF!</f>
        <v>#REF!</v>
      </c>
      <c r="F54" s="117" t="e">
        <f>#REF!*#REF!</f>
        <v>#REF!</v>
      </c>
      <c r="G54" s="117" t="e">
        <f>#REF!*#REF!</f>
        <v>#REF!</v>
      </c>
      <c r="H54" s="117" t="e">
        <f>#REF!*#REF!</f>
        <v>#REF!</v>
      </c>
      <c r="I54" s="118"/>
      <c r="J54" s="35"/>
      <c r="K54" s="18"/>
      <c r="L54" s="18"/>
      <c r="M54" s="18"/>
      <c r="N54" s="32"/>
      <c r="O54" s="18"/>
      <c r="P54" s="18"/>
      <c r="Q54" s="18"/>
      <c r="R54" s="33"/>
      <c r="S54" s="44"/>
      <c r="T54" s="18"/>
      <c r="U54" s="18"/>
      <c r="V54" s="18"/>
      <c r="W54" s="32"/>
      <c r="X54" s="18"/>
      <c r="Y54" s="18"/>
      <c r="Z54" s="18"/>
      <c r="AA54" s="32"/>
      <c r="AB54" s="37"/>
    </row>
    <row r="55" spans="1:28" hidden="1">
      <c r="A55" s="116" t="s">
        <v>105</v>
      </c>
      <c r="B55" s="117" t="e">
        <f>#REF!*#REF!</f>
        <v>#REF!</v>
      </c>
      <c r="C55" s="117" t="e">
        <f>#REF!*#REF!</f>
        <v>#REF!</v>
      </c>
      <c r="D55" s="117" t="e">
        <f>#REF!*#REF!</f>
        <v>#REF!</v>
      </c>
      <c r="E55" s="117" t="e">
        <f>#REF!*#REF!</f>
        <v>#REF!</v>
      </c>
      <c r="F55" s="117" t="e">
        <f>#REF!*#REF!</f>
        <v>#REF!</v>
      </c>
      <c r="G55" s="117" t="e">
        <f>#REF!*#REF!</f>
        <v>#REF!</v>
      </c>
      <c r="H55" s="117" t="e">
        <f>#REF!*#REF!</f>
        <v>#REF!</v>
      </c>
      <c r="I55" s="118"/>
      <c r="J55" s="119"/>
      <c r="K55" s="16"/>
      <c r="L55" s="16"/>
      <c r="M55" s="16"/>
      <c r="N55" s="32"/>
      <c r="O55" s="16"/>
      <c r="P55" s="16"/>
      <c r="Q55" s="16"/>
      <c r="R55" s="33"/>
      <c r="S55" s="120"/>
      <c r="T55" s="16"/>
      <c r="U55" s="16"/>
      <c r="V55" s="16"/>
      <c r="W55" s="32"/>
      <c r="X55" s="16"/>
      <c r="Y55" s="16"/>
      <c r="Z55" s="16"/>
      <c r="AA55" s="32"/>
      <c r="AB55" s="36"/>
    </row>
    <row r="56" spans="1:28" hidden="1">
      <c r="A56" s="116" t="s">
        <v>106</v>
      </c>
      <c r="B56" s="117" t="e">
        <f>#REF!*#REF!</f>
        <v>#REF!</v>
      </c>
      <c r="C56" s="117" t="e">
        <f>#REF!*#REF!</f>
        <v>#REF!</v>
      </c>
      <c r="D56" s="117" t="e">
        <f>#REF!*#REF!</f>
        <v>#REF!</v>
      </c>
      <c r="E56" s="117" t="e">
        <f>#REF!*#REF!</f>
        <v>#REF!</v>
      </c>
      <c r="F56" s="117" t="e">
        <f>#REF!*#REF!</f>
        <v>#REF!</v>
      </c>
      <c r="G56" s="117" t="e">
        <f>#REF!*#REF!</f>
        <v>#REF!</v>
      </c>
      <c r="H56" s="117" t="e">
        <f>#REF!*#REF!</f>
        <v>#REF!</v>
      </c>
      <c r="I56" s="118"/>
      <c r="J56" s="119"/>
      <c r="K56" s="16"/>
      <c r="L56" s="16"/>
      <c r="M56" s="16"/>
      <c r="N56" s="32"/>
      <c r="O56" s="16"/>
      <c r="P56" s="121"/>
      <c r="Q56" s="16"/>
      <c r="R56" s="33"/>
      <c r="S56" s="120"/>
      <c r="T56" s="16"/>
      <c r="U56" s="16"/>
      <c r="V56" s="16"/>
      <c r="W56" s="32"/>
      <c r="X56" s="16"/>
      <c r="Y56" s="16"/>
      <c r="Z56" s="16"/>
      <c r="AA56" s="32"/>
      <c r="AB56" s="36"/>
    </row>
    <row r="57" spans="1:28" hidden="1">
      <c r="A57" s="116" t="s">
        <v>107</v>
      </c>
      <c r="B57" s="117" t="e">
        <f>#REF!*#REF!</f>
        <v>#REF!</v>
      </c>
      <c r="C57" s="117" t="e">
        <f>#REF!*#REF!</f>
        <v>#REF!</v>
      </c>
      <c r="D57" s="117" t="e">
        <f>#REF!*#REF!</f>
        <v>#REF!</v>
      </c>
      <c r="E57" s="117" t="e">
        <f>#REF!*#REF!</f>
        <v>#REF!</v>
      </c>
      <c r="F57" s="117" t="e">
        <f>#REF!*#REF!</f>
        <v>#REF!</v>
      </c>
      <c r="G57" s="117" t="e">
        <f>#REF!*#REF!</f>
        <v>#REF!</v>
      </c>
      <c r="H57" s="117" t="e">
        <f>#REF!*#REF!</f>
        <v>#REF!</v>
      </c>
      <c r="I57" s="118"/>
      <c r="J57" s="119"/>
      <c r="K57" s="16"/>
      <c r="L57" s="16"/>
      <c r="M57" s="16"/>
      <c r="N57" s="32"/>
      <c r="O57" s="16"/>
      <c r="P57" s="121"/>
      <c r="Q57" s="16"/>
      <c r="R57" s="33"/>
      <c r="S57" s="120"/>
      <c r="T57" s="16"/>
      <c r="U57" s="16"/>
      <c r="V57" s="16"/>
      <c r="W57" s="32"/>
      <c r="X57" s="16"/>
      <c r="Y57" s="16"/>
      <c r="Z57" s="16"/>
      <c r="AA57" s="32"/>
      <c r="AB57" s="36"/>
    </row>
    <row r="58" spans="1:28" hidden="1">
      <c r="A58" s="17" t="s">
        <v>108</v>
      </c>
      <c r="B58" s="117" t="e">
        <f>#REF!*#REF!</f>
        <v>#REF!</v>
      </c>
      <c r="C58" s="117" t="e">
        <f>#REF!*#REF!</f>
        <v>#REF!</v>
      </c>
      <c r="D58" s="117" t="e">
        <f>#REF!*#REF!</f>
        <v>#REF!</v>
      </c>
      <c r="E58" s="117" t="e">
        <f>#REF!*#REF!</f>
        <v>#REF!</v>
      </c>
      <c r="F58" s="117" t="e">
        <f>#REF!*#REF!</f>
        <v>#REF!</v>
      </c>
      <c r="G58" s="117" t="e">
        <f>#REF!*#REF!</f>
        <v>#REF!</v>
      </c>
      <c r="H58" s="117" t="e">
        <f>#REF!*#REF!</f>
        <v>#REF!</v>
      </c>
      <c r="I58" s="118"/>
      <c r="J58" s="35"/>
      <c r="K58" s="18"/>
      <c r="L58" s="18"/>
      <c r="M58" s="18"/>
      <c r="N58" s="32"/>
      <c r="O58" s="18"/>
      <c r="P58" s="18"/>
      <c r="Q58" s="18"/>
      <c r="R58" s="33"/>
      <c r="S58" s="44"/>
      <c r="T58" s="18"/>
      <c r="U58" s="18"/>
      <c r="V58" s="18"/>
      <c r="W58" s="32"/>
      <c r="X58" s="18"/>
      <c r="Y58" s="18"/>
      <c r="Z58" s="18"/>
      <c r="AA58" s="32"/>
      <c r="AB58" s="37"/>
    </row>
    <row r="59" spans="1:28" hidden="1">
      <c r="A59" s="116" t="s">
        <v>109</v>
      </c>
      <c r="B59" s="117" t="e">
        <f>#REF!*#REF!</f>
        <v>#REF!</v>
      </c>
      <c r="C59" s="117" t="e">
        <f>#REF!*#REF!</f>
        <v>#REF!</v>
      </c>
      <c r="D59" s="117" t="e">
        <f>#REF!*#REF!</f>
        <v>#REF!</v>
      </c>
      <c r="E59" s="117" t="e">
        <f>#REF!*#REF!</f>
        <v>#REF!</v>
      </c>
      <c r="F59" s="117" t="e">
        <f>#REF!*#REF!</f>
        <v>#REF!</v>
      </c>
      <c r="G59" s="117" t="e">
        <f>#REF!*#REF!</f>
        <v>#REF!</v>
      </c>
      <c r="H59" s="117" t="e">
        <f>#REF!*#REF!</f>
        <v>#REF!</v>
      </c>
      <c r="I59" s="118"/>
      <c r="J59" s="119"/>
      <c r="K59" s="16"/>
      <c r="L59" s="16"/>
      <c r="M59" s="16"/>
      <c r="N59" s="32"/>
      <c r="O59" s="16"/>
      <c r="P59" s="16"/>
      <c r="Q59" s="16"/>
      <c r="R59" s="33"/>
      <c r="S59" s="120"/>
      <c r="T59" s="16"/>
      <c r="U59" s="16"/>
      <c r="V59" s="16"/>
      <c r="W59" s="32"/>
      <c r="X59" s="16"/>
      <c r="Y59" s="16"/>
      <c r="Z59" s="16"/>
      <c r="AA59" s="32"/>
      <c r="AB59" s="36"/>
    </row>
    <row r="60" spans="1:28" hidden="1">
      <c r="A60" s="116" t="s">
        <v>110</v>
      </c>
      <c r="B60" s="117" t="e">
        <f>#REF!*#REF!</f>
        <v>#REF!</v>
      </c>
      <c r="C60" s="117" t="e">
        <f>#REF!*#REF!</f>
        <v>#REF!</v>
      </c>
      <c r="D60" s="117" t="e">
        <f>#REF!*#REF!</f>
        <v>#REF!</v>
      </c>
      <c r="E60" s="117" t="e">
        <f>#REF!*#REF!</f>
        <v>#REF!</v>
      </c>
      <c r="F60" s="117" t="e">
        <f>#REF!*#REF!</f>
        <v>#REF!</v>
      </c>
      <c r="G60" s="117" t="e">
        <f>#REF!*#REF!</f>
        <v>#REF!</v>
      </c>
      <c r="H60" s="117" t="e">
        <f>#REF!*#REF!</f>
        <v>#REF!</v>
      </c>
      <c r="I60" s="118"/>
      <c r="J60" s="119"/>
      <c r="K60" s="16"/>
      <c r="L60" s="16"/>
      <c r="M60" s="16"/>
      <c r="N60" s="32"/>
      <c r="O60" s="16"/>
      <c r="P60" s="16"/>
      <c r="Q60" s="16"/>
      <c r="R60" s="33"/>
      <c r="S60" s="120"/>
      <c r="T60" s="16"/>
      <c r="U60" s="16"/>
      <c r="V60" s="16"/>
      <c r="W60" s="32"/>
      <c r="X60" s="16"/>
      <c r="Y60" s="16"/>
      <c r="Z60" s="16"/>
      <c r="AA60" s="32"/>
      <c r="AB60" s="36"/>
    </row>
    <row r="61" spans="1:28" hidden="1">
      <c r="A61" s="116" t="s">
        <v>111</v>
      </c>
      <c r="B61" s="117" t="e">
        <f>#REF!*#REF!</f>
        <v>#REF!</v>
      </c>
      <c r="C61" s="117" t="e">
        <f>#REF!*#REF!</f>
        <v>#REF!</v>
      </c>
      <c r="D61" s="117" t="e">
        <f>#REF!*#REF!</f>
        <v>#REF!</v>
      </c>
      <c r="E61" s="117" t="e">
        <f>#REF!*#REF!</f>
        <v>#REF!</v>
      </c>
      <c r="F61" s="117" t="e">
        <f>#REF!*#REF!</f>
        <v>#REF!</v>
      </c>
      <c r="G61" s="117" t="e">
        <f>#REF!*#REF!</f>
        <v>#REF!</v>
      </c>
      <c r="H61" s="117" t="e">
        <f>#REF!*#REF!</f>
        <v>#REF!</v>
      </c>
      <c r="I61" s="118"/>
      <c r="J61" s="119"/>
      <c r="K61" s="16"/>
      <c r="L61" s="16"/>
      <c r="M61" s="16"/>
      <c r="N61" s="32"/>
      <c r="O61" s="16"/>
      <c r="P61" s="16"/>
      <c r="Q61" s="16"/>
      <c r="R61" s="33"/>
      <c r="S61" s="120"/>
      <c r="T61" s="16"/>
      <c r="U61" s="16"/>
      <c r="V61" s="16"/>
      <c r="W61" s="32"/>
      <c r="X61" s="16"/>
      <c r="Y61" s="16"/>
      <c r="Z61" s="16"/>
      <c r="AA61" s="32"/>
      <c r="AB61" s="36"/>
    </row>
    <row r="62" spans="1:28" hidden="1">
      <c r="A62" s="17" t="s">
        <v>112</v>
      </c>
      <c r="B62" s="117" t="e">
        <f>#REF!*#REF!</f>
        <v>#REF!</v>
      </c>
      <c r="C62" s="117" t="e">
        <f>#REF!*#REF!</f>
        <v>#REF!</v>
      </c>
      <c r="D62" s="117" t="e">
        <f>#REF!*#REF!</f>
        <v>#REF!</v>
      </c>
      <c r="E62" s="117" t="e">
        <f>#REF!*#REF!</f>
        <v>#REF!</v>
      </c>
      <c r="F62" s="117" t="e">
        <f>#REF!*#REF!</f>
        <v>#REF!</v>
      </c>
      <c r="G62" s="117" t="e">
        <f>#REF!*#REF!</f>
        <v>#REF!</v>
      </c>
      <c r="H62" s="117" t="e">
        <f>#REF!*#REF!</f>
        <v>#REF!</v>
      </c>
      <c r="I62" s="118"/>
      <c r="J62" s="35"/>
      <c r="K62" s="18"/>
      <c r="L62" s="18"/>
      <c r="M62" s="18"/>
      <c r="N62" s="32"/>
      <c r="O62" s="18"/>
      <c r="P62" s="18"/>
      <c r="Q62" s="18"/>
      <c r="R62" s="33"/>
      <c r="S62" s="44"/>
      <c r="T62" s="18"/>
      <c r="U62" s="18"/>
      <c r="V62" s="18"/>
      <c r="W62" s="32"/>
      <c r="X62" s="18"/>
      <c r="Y62" s="18"/>
      <c r="Z62" s="18"/>
      <c r="AA62" s="32"/>
      <c r="AB62" s="37"/>
    </row>
    <row r="63" spans="1:28" hidden="1">
      <c r="A63" s="116" t="s">
        <v>113</v>
      </c>
      <c r="B63" s="117" t="e">
        <f>#REF!*#REF!</f>
        <v>#REF!</v>
      </c>
      <c r="C63" s="117" t="e">
        <f>#REF!*#REF!</f>
        <v>#REF!</v>
      </c>
      <c r="D63" s="117" t="e">
        <f>#REF!*#REF!</f>
        <v>#REF!</v>
      </c>
      <c r="E63" s="117" t="e">
        <f>#REF!*#REF!</f>
        <v>#REF!</v>
      </c>
      <c r="F63" s="117" t="e">
        <f>#REF!*#REF!</f>
        <v>#REF!</v>
      </c>
      <c r="G63" s="117" t="e">
        <f>#REF!*#REF!</f>
        <v>#REF!</v>
      </c>
      <c r="H63" s="117" t="e">
        <f>#REF!*#REF!</f>
        <v>#REF!</v>
      </c>
      <c r="I63" s="118"/>
      <c r="J63" s="119"/>
      <c r="K63" s="16"/>
      <c r="L63" s="16"/>
      <c r="M63" s="16"/>
      <c r="N63" s="32"/>
      <c r="O63" s="16"/>
      <c r="P63" s="16"/>
      <c r="Q63" s="16"/>
      <c r="R63" s="33"/>
      <c r="S63" s="120"/>
      <c r="T63" s="16"/>
      <c r="U63" s="16"/>
      <c r="V63" s="16"/>
      <c r="W63" s="32"/>
      <c r="X63" s="16"/>
      <c r="Y63" s="16"/>
      <c r="Z63" s="16"/>
      <c r="AA63" s="32"/>
      <c r="AB63" s="36"/>
    </row>
    <row r="64" spans="1:28" hidden="1">
      <c r="A64" s="116" t="s">
        <v>114</v>
      </c>
      <c r="B64" s="117" t="e">
        <f>#REF!*#REF!</f>
        <v>#REF!</v>
      </c>
      <c r="C64" s="117" t="e">
        <f>#REF!*#REF!</f>
        <v>#REF!</v>
      </c>
      <c r="D64" s="117" t="e">
        <f>#REF!*#REF!</f>
        <v>#REF!</v>
      </c>
      <c r="E64" s="117" t="e">
        <f>#REF!*#REF!</f>
        <v>#REF!</v>
      </c>
      <c r="F64" s="117" t="e">
        <f>#REF!*#REF!</f>
        <v>#REF!</v>
      </c>
      <c r="G64" s="117" t="e">
        <f>#REF!*#REF!</f>
        <v>#REF!</v>
      </c>
      <c r="H64" s="117" t="e">
        <f>#REF!*#REF!</f>
        <v>#REF!</v>
      </c>
      <c r="I64" s="118"/>
      <c r="J64" s="119"/>
      <c r="K64" s="19"/>
      <c r="L64" s="16"/>
      <c r="M64" s="16"/>
      <c r="N64" s="32"/>
      <c r="O64" s="16"/>
      <c r="P64" s="16"/>
      <c r="Q64" s="16"/>
      <c r="R64" s="33"/>
      <c r="S64" s="120"/>
      <c r="T64" s="16"/>
      <c r="U64" s="16"/>
      <c r="V64" s="16"/>
      <c r="W64" s="32"/>
      <c r="X64" s="16"/>
      <c r="Y64" s="16"/>
      <c r="Z64" s="16"/>
      <c r="AA64" s="32"/>
      <c r="AB64" s="36"/>
    </row>
    <row r="65" spans="1:28" hidden="1">
      <c r="A65" s="116" t="s">
        <v>115</v>
      </c>
      <c r="B65" s="117" t="e">
        <f>#REF!*#REF!</f>
        <v>#REF!</v>
      </c>
      <c r="C65" s="117" t="e">
        <f>#REF!*#REF!</f>
        <v>#REF!</v>
      </c>
      <c r="D65" s="117" t="e">
        <f>#REF!*#REF!</f>
        <v>#REF!</v>
      </c>
      <c r="E65" s="117" t="e">
        <f>#REF!*#REF!</f>
        <v>#REF!</v>
      </c>
      <c r="F65" s="117" t="e">
        <f>#REF!*#REF!</f>
        <v>#REF!</v>
      </c>
      <c r="G65" s="117" t="e">
        <f>#REF!*#REF!</f>
        <v>#REF!</v>
      </c>
      <c r="H65" s="117" t="e">
        <f>#REF!*#REF!</f>
        <v>#REF!</v>
      </c>
      <c r="I65" s="118"/>
      <c r="J65" s="119"/>
      <c r="K65" s="16"/>
      <c r="L65" s="16"/>
      <c r="M65" s="16"/>
      <c r="N65" s="32"/>
      <c r="O65" s="16"/>
      <c r="P65" s="16"/>
      <c r="Q65" s="16"/>
      <c r="R65" s="33"/>
      <c r="S65" s="120"/>
      <c r="T65" s="16"/>
      <c r="U65" s="16"/>
      <c r="V65" s="16"/>
      <c r="W65" s="32"/>
      <c r="X65" s="16"/>
      <c r="Y65" s="16"/>
      <c r="Z65" s="16"/>
      <c r="AA65" s="32"/>
      <c r="AB65" s="36"/>
    </row>
    <row r="66" spans="1:28" hidden="1">
      <c r="A66" s="17" t="s">
        <v>116</v>
      </c>
      <c r="B66" s="117" t="e">
        <f>#REF!*#REF!</f>
        <v>#REF!</v>
      </c>
      <c r="C66" s="117" t="e">
        <f>#REF!*#REF!</f>
        <v>#REF!</v>
      </c>
      <c r="D66" s="117" t="e">
        <f>#REF!*#REF!</f>
        <v>#REF!</v>
      </c>
      <c r="E66" s="117" t="e">
        <f>#REF!*#REF!</f>
        <v>#REF!</v>
      </c>
      <c r="F66" s="117" t="e">
        <f>#REF!*#REF!</f>
        <v>#REF!</v>
      </c>
      <c r="G66" s="117" t="e">
        <f>#REF!*#REF!</f>
        <v>#REF!</v>
      </c>
      <c r="H66" s="117" t="e">
        <f>#REF!*#REF!</f>
        <v>#REF!</v>
      </c>
      <c r="I66" s="118"/>
      <c r="J66" s="35"/>
      <c r="K66" s="18"/>
      <c r="L66" s="18"/>
      <c r="M66" s="18"/>
      <c r="N66" s="32"/>
      <c r="O66" s="18"/>
      <c r="P66" s="18"/>
      <c r="Q66" s="18"/>
      <c r="R66" s="33"/>
      <c r="S66" s="44"/>
      <c r="T66" s="18"/>
      <c r="U66" s="18"/>
      <c r="V66" s="18"/>
      <c r="W66" s="32"/>
      <c r="X66" s="18"/>
      <c r="Y66" s="18"/>
      <c r="Z66" s="18"/>
      <c r="AA66" s="32"/>
      <c r="AB66" s="37"/>
    </row>
    <row r="67" spans="1:28" hidden="1">
      <c r="A67" s="20" t="s">
        <v>117</v>
      </c>
      <c r="B67" s="12"/>
      <c r="C67" s="12"/>
      <c r="D67" s="12"/>
      <c r="E67" s="12"/>
      <c r="F67" s="12"/>
      <c r="G67" s="12"/>
      <c r="H67" s="12"/>
      <c r="I67" s="12"/>
      <c r="J67" s="12"/>
      <c r="K67" s="12"/>
      <c r="L67" s="12"/>
      <c r="M67" s="12"/>
      <c r="N67" s="12"/>
      <c r="O67" s="12"/>
      <c r="P67" s="26"/>
      <c r="Q67" s="12"/>
      <c r="R67" s="12"/>
      <c r="S67" s="12"/>
      <c r="T67" s="12"/>
      <c r="U67" s="12"/>
      <c r="V67" s="12"/>
      <c r="W67" s="12"/>
      <c r="X67" s="12"/>
      <c r="Y67" s="26"/>
      <c r="Z67" s="26"/>
      <c r="AA67" s="26"/>
      <c r="AB67" s="27"/>
    </row>
    <row r="69" spans="1:28">
      <c r="A69" s="50" t="s">
        <v>118</v>
      </c>
      <c r="B69" s="49" t="e">
        <f t="shared" ref="B69:H69" si="0">SUM(B15:B65)</f>
        <v>#REF!</v>
      </c>
      <c r="C69" s="49" t="e">
        <f t="shared" si="0"/>
        <v>#REF!</v>
      </c>
      <c r="D69" s="49" t="e">
        <f t="shared" si="0"/>
        <v>#REF!</v>
      </c>
      <c r="E69" s="49" t="e">
        <f t="shared" si="0"/>
        <v>#REF!</v>
      </c>
      <c r="F69" s="49" t="e">
        <f t="shared" si="0"/>
        <v>#REF!</v>
      </c>
      <c r="G69" s="49" t="e">
        <f t="shared" si="0"/>
        <v>#REF!</v>
      </c>
      <c r="H69" s="49" t="e">
        <f t="shared" si="0"/>
        <v>#REF!</v>
      </c>
    </row>
    <row r="70" spans="1:28">
      <c r="A70" s="8" t="s">
        <v>65</v>
      </c>
    </row>
    <row r="71" spans="1:28">
      <c r="A71" s="8" t="s">
        <v>66</v>
      </c>
    </row>
    <row r="72" spans="1:28">
      <c r="A72" s="8" t="s">
        <v>67</v>
      </c>
    </row>
    <row r="73" spans="1:28">
      <c r="A73" s="11" t="s">
        <v>68</v>
      </c>
    </row>
    <row r="74" spans="1:28">
      <c r="A74" s="171" t="s">
        <v>69</v>
      </c>
    </row>
    <row r="75" spans="1:28">
      <c r="A75" s="171" t="s">
        <v>70</v>
      </c>
    </row>
    <row r="76" spans="1:28">
      <c r="A76" s="171" t="s">
        <v>71</v>
      </c>
    </row>
    <row r="77" spans="1:28">
      <c r="A77" s="172" t="s">
        <v>72</v>
      </c>
    </row>
    <row r="78" spans="1:28">
      <c r="A78" s="171" t="s">
        <v>73</v>
      </c>
    </row>
    <row r="79" spans="1:28">
      <c r="A79" s="171" t="s">
        <v>74</v>
      </c>
    </row>
    <row r="80" spans="1:28">
      <c r="A80" s="171" t="s">
        <v>75</v>
      </c>
    </row>
    <row r="81" spans="1:1">
      <c r="A81" s="172" t="s">
        <v>76</v>
      </c>
    </row>
    <row r="82" spans="1:1">
      <c r="A82" s="171" t="s">
        <v>77</v>
      </c>
    </row>
    <row r="83" spans="1:1">
      <c r="A83" s="171" t="s">
        <v>78</v>
      </c>
    </row>
    <row r="84" spans="1:1">
      <c r="A84" s="171" t="s">
        <v>79</v>
      </c>
    </row>
    <row r="85" spans="1:1">
      <c r="A85" s="172" t="s">
        <v>80</v>
      </c>
    </row>
    <row r="86" spans="1:1">
      <c r="A86" s="171" t="s">
        <v>81</v>
      </c>
    </row>
    <row r="87" spans="1:1">
      <c r="A87" s="171" t="s">
        <v>82</v>
      </c>
    </row>
    <row r="88" spans="1:1">
      <c r="A88" s="171" t="s">
        <v>83</v>
      </c>
    </row>
    <row r="89" spans="1:1">
      <c r="A89" s="172" t="s">
        <v>84</v>
      </c>
    </row>
    <row r="90" spans="1:1">
      <c r="A90" s="171" t="s">
        <v>85</v>
      </c>
    </row>
    <row r="91" spans="1:1">
      <c r="A91" s="171" t="s">
        <v>119</v>
      </c>
    </row>
    <row r="92" spans="1:1">
      <c r="A92" s="171" t="s">
        <v>87</v>
      </c>
    </row>
    <row r="93" spans="1:1">
      <c r="A93" s="172" t="s">
        <v>88</v>
      </c>
    </row>
    <row r="94" spans="1:1">
      <c r="A94" s="171" t="s">
        <v>89</v>
      </c>
    </row>
    <row r="95" spans="1:1">
      <c r="A95" s="171" t="s">
        <v>90</v>
      </c>
    </row>
    <row r="96" spans="1:1">
      <c r="A96" s="171" t="s">
        <v>91</v>
      </c>
    </row>
    <row r="97" spans="1:1">
      <c r="A97" s="172" t="s">
        <v>92</v>
      </c>
    </row>
    <row r="98" spans="1:1">
      <c r="A98" s="171" t="s">
        <v>93</v>
      </c>
    </row>
    <row r="99" spans="1:1">
      <c r="A99" s="171" t="s">
        <v>94</v>
      </c>
    </row>
    <row r="100" spans="1:1">
      <c r="A100" s="171" t="s">
        <v>95</v>
      </c>
    </row>
    <row r="101" spans="1:1">
      <c r="A101" s="172" t="s">
        <v>96</v>
      </c>
    </row>
    <row r="102" spans="1:1">
      <c r="A102" s="171" t="s">
        <v>97</v>
      </c>
    </row>
    <row r="103" spans="1:1">
      <c r="A103" s="171" t="s">
        <v>98</v>
      </c>
    </row>
    <row r="104" spans="1:1">
      <c r="A104" s="171" t="s">
        <v>99</v>
      </c>
    </row>
    <row r="105" spans="1:1">
      <c r="A105" s="172" t="s">
        <v>120</v>
      </c>
    </row>
    <row r="106" spans="1:1">
      <c r="A106" s="171" t="s">
        <v>101</v>
      </c>
    </row>
    <row r="107" spans="1:1">
      <c r="A107" s="171" t="s">
        <v>102</v>
      </c>
    </row>
    <row r="108" spans="1:1">
      <c r="A108" s="171" t="s">
        <v>103</v>
      </c>
    </row>
    <row r="109" spans="1:1">
      <c r="A109" s="172" t="s">
        <v>104</v>
      </c>
    </row>
    <row r="110" spans="1:1">
      <c r="A110" s="171" t="s">
        <v>105</v>
      </c>
    </row>
    <row r="111" spans="1:1">
      <c r="A111" s="171" t="s">
        <v>106</v>
      </c>
    </row>
    <row r="112" spans="1:1">
      <c r="A112" s="171" t="s">
        <v>107</v>
      </c>
    </row>
    <row r="113" spans="1:1">
      <c r="A113" s="172" t="s">
        <v>108</v>
      </c>
    </row>
    <row r="114" spans="1:1">
      <c r="A114" s="171" t="s">
        <v>109</v>
      </c>
    </row>
    <row r="115" spans="1:1">
      <c r="A115" s="171" t="s">
        <v>110</v>
      </c>
    </row>
    <row r="116" spans="1:1">
      <c r="A116" s="171" t="s">
        <v>111</v>
      </c>
    </row>
    <row r="117" spans="1:1">
      <c r="A117" s="172" t="s">
        <v>112</v>
      </c>
    </row>
    <row r="118" spans="1:1">
      <c r="A118" s="171" t="s">
        <v>113</v>
      </c>
    </row>
    <row r="119" spans="1:1">
      <c r="A119" s="171" t="s">
        <v>114</v>
      </c>
    </row>
    <row r="120" spans="1:1">
      <c r="A120" s="172" t="s">
        <v>115</v>
      </c>
    </row>
  </sheetData>
  <pageMargins left="0.7" right="0.7" top="0.75" bottom="0.75" header="0.3" footer="0.3"/>
  <pageSetup orientation="portrait" horizontalDpi="1200" verticalDpi="12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85BFFBB-583E-4796-BE9D-9C2EBB1D46EB}"/>
</file>

<file path=customXml/itemProps2.xml><?xml version="1.0" encoding="utf-8"?>
<ds:datastoreItem xmlns:ds="http://schemas.openxmlformats.org/officeDocument/2006/customXml" ds:itemID="{FB6910D4-2EDF-41B1-8096-0245F3A12D0E}"/>
</file>

<file path=customXml/itemProps3.xml><?xml version="1.0" encoding="utf-8"?>
<ds:datastoreItem xmlns:ds="http://schemas.openxmlformats.org/officeDocument/2006/customXml" ds:itemID="{88F99390-0CD5-4897-B329-02A2561310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2022_VM-1</vt:lpstr>
      <vt:lpstr>Sheet2</vt:lpstr>
      <vt:lpstr>vm4 rural</vt:lpstr>
      <vt:lpstr>vmt draft_-temp-urban</vt:lpstr>
      <vt:lpstr>'2022_VM-1'!Print_Area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USDOT_User</dc:creator>
  <cp:lastModifiedBy>Wang, Shuqing (FHWA)</cp:lastModifiedBy>
  <dcterms:created xsi:type="dcterms:W3CDTF">2017-02-02T17:19:06Z</dcterms:created>
  <dcterms:modified xsi:type="dcterms:W3CDTF">2025-03-12T13:56:40Z</dcterms:modified>
</cp:coreProperties>
</file>